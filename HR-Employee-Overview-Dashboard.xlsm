
<file path=[Content_Types].xml><?xml version="1.0" encoding="utf-8"?>
<Types xmlns="http://schemas.openxmlformats.org/package/2006/content-types">
  <Default Extension="bin" ContentType="application/vnd.openxmlformats-officedocument.spreadsheetml.printerSettings"/>
  <Default Extension="jpeg" ContentType="image/jpeg"/>
  <Default Extension="png" ContentType="image/png"/>
  <Default Extension="rels" ContentType="application/vnd.openxmlformats-package.relationships+xml"/>
  <Default Extension="svg" ContentType="image/svg+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externalLinks/externalLink1.xml" ContentType="application/vnd.openxmlformats-officedocument.spreadsheetml.externalLink+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slicerCaches/slicerCache1.xml" ContentType="application/vnd.ms-excel.slicerCache+xml"/>
  <Override PartName="/xl/slicerCaches/slicerCache2.xml" ContentType="application/vnd.ms-excel.slicerCache+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pivotTables/pivotTable1.xml" ContentType="application/vnd.openxmlformats-officedocument.spreadsheetml.pivotTable+xml"/>
  <Override PartName="/xl/pivotTables/pivotTable2.xml" ContentType="application/vnd.openxmlformats-officedocument.spreadsheetml.pivotTable+xml"/>
  <Override PartName="/xl/pivotTables/pivotTable3.xml" ContentType="application/vnd.openxmlformats-officedocument.spreadsheetml.pivotTable+xml"/>
  <Override PartName="/xl/drawings/drawing2.xml" ContentType="application/vnd.openxmlformats-officedocument.drawing+xml"/>
  <Override PartName="/xl/slicers/slicer1.xml" ContentType="application/vnd.ms-excel.slicer+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charts/chart3.xml" ContentType="application/vnd.openxmlformats-officedocument.drawingml.chart+xml"/>
  <Override PartName="/xl/charts/style3.xml" ContentType="application/vnd.ms-office.chartstyle+xml"/>
  <Override PartName="/xl/charts/colors3.xml" ContentType="application/vnd.ms-office.chartcolorstyle+xml"/>
  <Override PartName="/xl/drawings/drawing3.xml" ContentType="application/vnd.openxmlformats-officedocument.drawing+xml"/>
  <Override PartName="/xl/slicers/slicer2.xml" ContentType="application/vnd.ms-excel.slicer+xml"/>
  <Override PartName="/xl/charts/chart4.xml" ContentType="application/vnd.openxmlformats-officedocument.drawingml.chart+xml"/>
  <Override PartName="/xl/charts/style4.xml" ContentType="application/vnd.ms-office.chartstyle+xml"/>
  <Override PartName="/xl/charts/colors4.xml" ContentType="application/vnd.ms-office.chartcolorstyle+xml"/>
  <Override PartName="/xl/charts/chart5.xml" ContentType="application/vnd.openxmlformats-officedocument.drawingml.chart+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10210" codeName="{E5D1E7B1-6628-F0F0-D09B-76B25B5F3CD3}"/>
  <workbookPr hidePivotFieldList="1"/>
  <mc:AlternateContent xmlns:mc="http://schemas.openxmlformats.org/markup-compatibility/2006">
    <mc:Choice Requires="x15">
      <x15ac:absPath xmlns:x15ac="http://schemas.microsoft.com/office/spreadsheetml/2010/11/ac" url="/Users/nayan/Downloads/0x100_Internship/SURE_Trust/excel/excel_project_2/"/>
    </mc:Choice>
  </mc:AlternateContent>
  <xr:revisionPtr revIDLastSave="0" documentId="8_{BBBE1054-735A-8B43-A82D-E709B1D65CBF}" xr6:coauthVersionLast="47" xr6:coauthVersionMax="47" xr10:uidLastSave="{00000000-0000-0000-0000-000000000000}"/>
  <bookViews>
    <workbookView xWindow="0" yWindow="0" windowWidth="38400" windowHeight="21600" activeTab="3" xr2:uid="{00000000-000D-0000-FFFF-FFFF00000000}"/>
  </bookViews>
  <sheets>
    <sheet name="Instructions" sheetId="3" r:id="rId1"/>
    <sheet name="HR Data" sheetId="1" r:id="rId2"/>
    <sheet name="Pivot Table" sheetId="4" r:id="rId3"/>
    <sheet name="dashboard" sheetId="5" r:id="rId4"/>
  </sheets>
  <externalReferences>
    <externalReference r:id="rId5"/>
  </externalReferences>
  <definedNames>
    <definedName name="_xlnm._FilterDatabase" localSheetId="1" hidden="1">'HR Data'!$A$4:$I$24</definedName>
    <definedName name="Slicer_Department">#N/A</definedName>
    <definedName name="Slicer_Full_Part_Time">#N/A</definedName>
  </definedNames>
  <calcPr calcId="191029"/>
  <pivotCaches>
    <pivotCache cacheId="1" r:id="rId6"/>
  </pivotCaches>
  <extLst>
    <ext xmlns:x14="http://schemas.microsoft.com/office/spreadsheetml/2009/9/main" uri="{BBE1A952-AA13-448e-AADC-164F8A28A991}">
      <x14:slicerCaches>
        <x14:slicerCache r:id="rId7"/>
        <x14:slicerCache r:id="rId8"/>
      </x14:slicerCaches>
    </ext>
    <ext xmlns:x14="http://schemas.microsoft.com/office/spreadsheetml/2009/9/main" uri="{79F54976-1DA5-4618-B147-4CDE4B953A38}">
      <x14:workbookPr/>
    </ex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calcFeatures>
    </ext>
  </extLst>
</workbook>
</file>

<file path=xl/calcChain.xml><?xml version="1.0" encoding="utf-8"?>
<calcChain xmlns="http://schemas.openxmlformats.org/spreadsheetml/2006/main">
  <c r="I4" i="4" l="1"/>
  <c r="J8" i="4" s="1"/>
  <c r="J13" i="4"/>
  <c r="J14" i="4"/>
  <c r="J15" i="4"/>
  <c r="J16" i="4"/>
  <c r="J17" i="4"/>
  <c r="J18" i="4"/>
  <c r="I13" i="4"/>
  <c r="I14" i="4"/>
  <c r="I15" i="4"/>
  <c r="I16" i="4"/>
  <c r="I17" i="4"/>
  <c r="I18" i="4"/>
  <c r="J12" i="4"/>
  <c r="I12" i="4"/>
  <c r="J4" i="4"/>
  <c r="M5" i="1"/>
  <c r="M6" i="1"/>
  <c r="M7" i="1"/>
  <c r="M8" i="1"/>
  <c r="M9" i="1"/>
  <c r="M10" i="1"/>
  <c r="M11" i="1"/>
  <c r="M12" i="1"/>
  <c r="M13" i="1"/>
  <c r="M14" i="1"/>
  <c r="M15" i="1"/>
  <c r="M16" i="1"/>
  <c r="M17" i="1"/>
  <c r="M18" i="1"/>
  <c r="M19" i="1"/>
  <c r="M20" i="1"/>
  <c r="M21" i="1"/>
  <c r="M22" i="1"/>
  <c r="M23" i="1"/>
  <c r="M24" i="1"/>
  <c r="M25" i="1"/>
  <c r="M26" i="1"/>
  <c r="M27" i="1"/>
  <c r="M28" i="1"/>
  <c r="M29" i="1"/>
  <c r="M30" i="1"/>
  <c r="M31" i="1"/>
  <c r="M32" i="1"/>
  <c r="M33" i="1"/>
  <c r="M34" i="1"/>
  <c r="M35" i="1"/>
  <c r="M36" i="1"/>
  <c r="M37" i="1"/>
  <c r="M38" i="1"/>
  <c r="M4" i="1"/>
  <c r="L5" i="1"/>
  <c r="L6" i="1"/>
  <c r="L7" i="1"/>
  <c r="L8" i="1"/>
  <c r="L9" i="1"/>
  <c r="L10" i="1"/>
  <c r="L11" i="1"/>
  <c r="L12" i="1"/>
  <c r="L13" i="1"/>
  <c r="L14" i="1"/>
  <c r="L15" i="1"/>
  <c r="L16" i="1"/>
  <c r="L17" i="1"/>
  <c r="L18" i="1"/>
  <c r="L19" i="1"/>
  <c r="L20" i="1"/>
  <c r="L21" i="1"/>
  <c r="L22" i="1"/>
  <c r="L23" i="1"/>
  <c r="L24" i="1"/>
  <c r="L25" i="1"/>
  <c r="L26" i="1"/>
  <c r="L27" i="1"/>
  <c r="L28" i="1"/>
  <c r="L29" i="1"/>
  <c r="L30" i="1"/>
  <c r="L31" i="1"/>
  <c r="L32" i="1"/>
  <c r="L33" i="1"/>
  <c r="L34" i="1"/>
  <c r="L35" i="1"/>
  <c r="L36" i="1"/>
  <c r="L37" i="1"/>
  <c r="L38" i="1"/>
  <c r="L4" i="1"/>
  <c r="G5" i="1"/>
  <c r="G6" i="1"/>
  <c r="G7" i="1"/>
  <c r="G8" i="1"/>
  <c r="G9" i="1"/>
  <c r="G10" i="1"/>
  <c r="G11" i="1"/>
  <c r="G12" i="1"/>
  <c r="G13" i="1"/>
  <c r="G14" i="1"/>
  <c r="G15" i="1"/>
  <c r="G16" i="1"/>
  <c r="G17" i="1"/>
  <c r="G18" i="1"/>
  <c r="G19" i="1"/>
  <c r="G20" i="1"/>
  <c r="G21" i="1"/>
  <c r="G22" i="1"/>
  <c r="G23" i="1"/>
  <c r="G24" i="1"/>
  <c r="G25" i="1"/>
  <c r="G26" i="1"/>
  <c r="G27" i="1"/>
  <c r="G28" i="1"/>
  <c r="G29" i="1"/>
  <c r="G30" i="1"/>
  <c r="G31" i="1"/>
  <c r="G32" i="1"/>
  <c r="G33" i="1"/>
  <c r="G34" i="1"/>
  <c r="G35" i="1"/>
  <c r="G36" i="1"/>
  <c r="G37" i="1"/>
  <c r="G38" i="1"/>
  <c r="G4" i="1"/>
  <c r="F5" i="1"/>
  <c r="F6" i="1"/>
  <c r="F7" i="1"/>
  <c r="F8" i="1"/>
  <c r="F9" i="1"/>
  <c r="F10" i="1"/>
  <c r="F11" i="1"/>
  <c r="F12" i="1"/>
  <c r="F13" i="1"/>
  <c r="F14" i="1"/>
  <c r="F15" i="1"/>
  <c r="F16" i="1"/>
  <c r="F17" i="1"/>
  <c r="F18" i="1"/>
  <c r="F19" i="1"/>
  <c r="F20" i="1"/>
  <c r="F21" i="1"/>
  <c r="F22" i="1"/>
  <c r="F23" i="1"/>
  <c r="F24" i="1"/>
  <c r="F25" i="1"/>
  <c r="F26" i="1"/>
  <c r="F27" i="1"/>
  <c r="F28" i="1"/>
  <c r="F29" i="1"/>
  <c r="F30" i="1"/>
  <c r="F31" i="1"/>
  <c r="F32" i="1"/>
  <c r="F33" i="1"/>
  <c r="F34" i="1"/>
  <c r="F35" i="1"/>
  <c r="F36" i="1"/>
  <c r="F37" i="1"/>
  <c r="F38" i="1"/>
  <c r="F4" i="1"/>
  <c r="K5" i="1"/>
  <c r="K6" i="1"/>
  <c r="K7" i="1"/>
  <c r="K8" i="1"/>
  <c r="K9" i="1"/>
  <c r="K10" i="1"/>
  <c r="K11" i="1"/>
  <c r="K12" i="1"/>
  <c r="K13" i="1"/>
  <c r="K14" i="1"/>
  <c r="K15" i="1"/>
  <c r="K16" i="1"/>
  <c r="K17" i="1"/>
  <c r="K18" i="1"/>
  <c r="K19" i="1"/>
  <c r="K20" i="1"/>
  <c r="K21" i="1"/>
  <c r="K22" i="1"/>
  <c r="K23" i="1"/>
  <c r="K24" i="1"/>
  <c r="K25" i="1"/>
  <c r="K26" i="1"/>
  <c r="K27" i="1"/>
  <c r="K28" i="1"/>
  <c r="K29" i="1"/>
  <c r="K30" i="1"/>
  <c r="K31" i="1"/>
  <c r="K32" i="1"/>
  <c r="K33" i="1"/>
  <c r="K34" i="1"/>
  <c r="K35" i="1"/>
  <c r="K36" i="1"/>
  <c r="K37" i="1"/>
  <c r="K38" i="1"/>
  <c r="K4" i="1"/>
  <c r="C5" i="1"/>
  <c r="C6" i="1"/>
  <c r="C7" i="1"/>
  <c r="C8" i="1"/>
  <c r="C9" i="1"/>
  <c r="C10" i="1"/>
  <c r="C11" i="1"/>
  <c r="C12" i="1"/>
  <c r="C13" i="1"/>
  <c r="C14" i="1"/>
  <c r="C15" i="1"/>
  <c r="C16" i="1"/>
  <c r="C17" i="1"/>
  <c r="C18" i="1"/>
  <c r="C19" i="1"/>
  <c r="C20" i="1"/>
  <c r="C21" i="1"/>
  <c r="C22" i="1"/>
  <c r="C23" i="1"/>
  <c r="C24" i="1"/>
  <c r="C25" i="1"/>
  <c r="C26" i="1"/>
  <c r="C27" i="1"/>
  <c r="C28" i="1"/>
  <c r="C29" i="1"/>
  <c r="C30" i="1"/>
  <c r="C31" i="1"/>
  <c r="C32" i="1"/>
  <c r="C33" i="1"/>
  <c r="C34" i="1"/>
  <c r="C35" i="1"/>
  <c r="C36" i="1"/>
  <c r="C37" i="1"/>
  <c r="C38" i="1"/>
  <c r="C4" i="1"/>
  <c r="I8" i="4" l="1"/>
</calcChain>
</file>

<file path=xl/sharedStrings.xml><?xml version="1.0" encoding="utf-8"?>
<sst xmlns="http://schemas.openxmlformats.org/spreadsheetml/2006/main" count="281" uniqueCount="165">
  <si>
    <t>Emp ID</t>
  </si>
  <si>
    <t>Full Name</t>
  </si>
  <si>
    <t>Email</t>
  </si>
  <si>
    <t>Date of Hire</t>
  </si>
  <si>
    <t>Department</t>
  </si>
  <si>
    <t>Location</t>
  </si>
  <si>
    <t>DECKER</t>
  </si>
  <si>
    <t>BARRY</t>
  </si>
  <si>
    <t>COLE</t>
  </si>
  <si>
    <t>Daniel</t>
  </si>
  <si>
    <t>CHAFFEE</t>
  </si>
  <si>
    <t>Adam</t>
  </si>
  <si>
    <t>Facilities</t>
  </si>
  <si>
    <t>DONNELL</t>
  </si>
  <si>
    <t>Susan</t>
  </si>
  <si>
    <t>Accounting</t>
  </si>
  <si>
    <t>Elizabeth</t>
  </si>
  <si>
    <t>Human Resources</t>
  </si>
  <si>
    <t>ELLIS</t>
  </si>
  <si>
    <t>Janet</t>
  </si>
  <si>
    <t>CHUNG</t>
  </si>
  <si>
    <t>Bob</t>
  </si>
  <si>
    <t>FLANDERS</t>
  </si>
  <si>
    <t>Sabrina</t>
  </si>
  <si>
    <t>CLARK</t>
  </si>
  <si>
    <t>BOLLER</t>
  </si>
  <si>
    <t>Mary</t>
  </si>
  <si>
    <t>CAROL</t>
  </si>
  <si>
    <t>Executive</t>
  </si>
  <si>
    <t>Joe</t>
  </si>
  <si>
    <t>Customer Service</t>
  </si>
  <si>
    <t>COMUNTZIS</t>
  </si>
  <si>
    <t>Mark</t>
  </si>
  <si>
    <t>FILOSA</t>
  </si>
  <si>
    <t>Alexandra</t>
  </si>
  <si>
    <t>FERRIS</t>
  </si>
  <si>
    <t>Jim</t>
  </si>
  <si>
    <t>CHU</t>
  </si>
  <si>
    <t>Fred</t>
  </si>
  <si>
    <t>BINGA</t>
  </si>
  <si>
    <t>DESIATO</t>
  </si>
  <si>
    <t>Barbara</t>
  </si>
  <si>
    <t>Tina</t>
  </si>
  <si>
    <t>Carlton</t>
  </si>
  <si>
    <t>Samantha</t>
  </si>
  <si>
    <t>Chairs</t>
  </si>
  <si>
    <t>Mihael</t>
  </si>
  <si>
    <t>Khan</t>
  </si>
  <si>
    <t>Phoebe</t>
  </si>
  <si>
    <t>Gour</t>
  </si>
  <si>
    <t>Leighton</t>
  </si>
  <si>
    <t>Forrest</t>
  </si>
  <si>
    <t>Natasha</t>
  </si>
  <si>
    <t>Song</t>
  </si>
  <si>
    <t>Aanya</t>
  </si>
  <si>
    <t>Zhang</t>
  </si>
  <si>
    <t>Connor</t>
  </si>
  <si>
    <t>Betts</t>
  </si>
  <si>
    <t>Yvette</t>
  </si>
  <si>
    <t>Biti</t>
  </si>
  <si>
    <t>Charlie</t>
  </si>
  <si>
    <t>Bui</t>
  </si>
  <si>
    <t>Stevie</t>
  </si>
  <si>
    <t>Nicholas</t>
  </si>
  <si>
    <t>Fernandes</t>
  </si>
  <si>
    <t>Radhya</t>
  </si>
  <si>
    <t>Staples</t>
  </si>
  <si>
    <t>Preston</t>
  </si>
  <si>
    <t>Senome</t>
  </si>
  <si>
    <t>Sales</t>
  </si>
  <si>
    <t>Eric</t>
  </si>
  <si>
    <t>Mei</t>
  </si>
  <si>
    <t>WANG</t>
  </si>
  <si>
    <t>ANNA</t>
  </si>
  <si>
    <t>Sean</t>
  </si>
  <si>
    <t>SANDERS</t>
  </si>
  <si>
    <t>elizabeth</t>
  </si>
  <si>
    <t>IT</t>
  </si>
  <si>
    <t>Uma</t>
  </si>
  <si>
    <t>CHAUDRI</t>
  </si>
  <si>
    <t>Wing</t>
  </si>
  <si>
    <t>ZenCo HR Database</t>
  </si>
  <si>
    <t>Bacata</t>
  </si>
  <si>
    <t>02-West-2635 </t>
  </si>
  <si>
    <t>02-West-2018 </t>
  </si>
  <si>
    <t>02-NorthEast-2347 </t>
  </si>
  <si>
    <t>03-West-2764 </t>
  </si>
  <si>
    <t>03-East-2318 </t>
  </si>
  <si>
    <t>02-East-2694 </t>
  </si>
  <si>
    <t>02-West-2699 </t>
  </si>
  <si>
    <t>01-East-2321 </t>
  </si>
  <si>
    <t>03-West-2432 </t>
  </si>
  <si>
    <t>02-West-2962 </t>
  </si>
  <si>
    <t>01-West-2425 </t>
  </si>
  <si>
    <t>03-West-2796 </t>
  </si>
  <si>
    <t>03-West-2601 </t>
  </si>
  <si>
    <t>02-NorthEast-2414 </t>
  </si>
  <si>
    <t>02-West-2537 </t>
  </si>
  <si>
    <t>02-West-2286 </t>
  </si>
  <si>
    <t>01-East-2358 </t>
  </si>
  <si>
    <t>03-West-2082 </t>
  </si>
  <si>
    <t>03-NorthEast-2482 </t>
  </si>
  <si>
    <t>02-East-2372 </t>
  </si>
  <si>
    <t>03-East-2392 </t>
  </si>
  <si>
    <t>02-West-2279 </t>
  </si>
  <si>
    <t>02-East-2639 </t>
  </si>
  <si>
    <t>02-East-2284 </t>
  </si>
  <si>
    <t>02-East-2910 </t>
  </si>
  <si>
    <t>02-NorthEast-2294 </t>
  </si>
  <si>
    <t>03-West-2765 </t>
  </si>
  <si>
    <t>02-East-2260 </t>
  </si>
  <si>
    <t>02-East-2578 </t>
  </si>
  <si>
    <t>02-East-2654 </t>
  </si>
  <si>
    <t>01-West-2783 </t>
  </si>
  <si>
    <t>02-East-2793 </t>
  </si>
  <si>
    <t>02-West-2589 _x001F_</t>
  </si>
  <si>
    <t>03-East-2134 _x001F_</t>
  </si>
  <si>
    <t>01-East-2086 _x001F_</t>
  </si>
  <si>
    <t>Instructions</t>
  </si>
  <si>
    <t>1)</t>
  </si>
  <si>
    <t>b)</t>
  </si>
  <si>
    <t>2)</t>
  </si>
  <si>
    <t>Hint</t>
  </si>
  <si>
    <t>Floor No.</t>
  </si>
  <si>
    <t>Last Name</t>
  </si>
  <si>
    <t>First Name</t>
  </si>
  <si>
    <t>Full/Part Time</t>
  </si>
  <si>
    <t>F</t>
  </si>
  <si>
    <t>P</t>
  </si>
  <si>
    <t>Emp No.</t>
  </si>
  <si>
    <t>5a)</t>
  </si>
  <si>
    <t>6a)</t>
  </si>
  <si>
    <t>3a)</t>
  </si>
  <si>
    <t>4a)</t>
  </si>
  <si>
    <t>You will notice that instead of getting four numbers you only got 3 or in some cases 2, adjust the formula so that you get the 4 digit extension code in each case.</t>
  </si>
  <si>
    <t xml:space="preserve">Extension </t>
  </si>
  <si>
    <t>The finished sheet should look like this:</t>
  </si>
  <si>
    <t>Week 1 Practice Challenge</t>
  </si>
  <si>
    <r>
      <t xml:space="preserve">All the following instructions are to be carried out in the </t>
    </r>
    <r>
      <rPr>
        <b/>
        <sz val="11"/>
        <color theme="1"/>
        <rFont val="Calibri"/>
        <family val="2"/>
        <scheme val="minor"/>
      </rPr>
      <t>HR Data</t>
    </r>
    <r>
      <rPr>
        <sz val="11"/>
        <color theme="1"/>
        <rFont val="Calibri"/>
        <family val="2"/>
        <scheme val="minor"/>
      </rPr>
      <t xml:space="preserve"> sheet. To get help with the more difficult questions click on the </t>
    </r>
    <r>
      <rPr>
        <b/>
        <sz val="11"/>
        <color theme="1"/>
        <rFont val="Calibri"/>
        <family val="2"/>
        <scheme val="minor"/>
      </rPr>
      <t>Hint</t>
    </r>
    <r>
      <rPr>
        <sz val="11"/>
        <color theme="1"/>
        <rFont val="Calibri"/>
        <family val="2"/>
        <scheme val="minor"/>
      </rPr>
      <t xml:space="preserve"> to the right.</t>
    </r>
  </si>
  <si>
    <r>
      <t xml:space="preserve">In </t>
    </r>
    <r>
      <rPr>
        <b/>
        <sz val="11"/>
        <color theme="1"/>
        <rFont val="Calibri"/>
        <family val="2"/>
        <scheme val="minor"/>
      </rPr>
      <t>C4</t>
    </r>
    <r>
      <rPr>
        <sz val="11"/>
        <color theme="1"/>
        <rFont val="Calibri"/>
        <family val="2"/>
        <scheme val="minor"/>
      </rPr>
      <t xml:space="preserve">, in the HR Data sheet join the data in </t>
    </r>
    <r>
      <rPr>
        <b/>
        <sz val="11"/>
        <color theme="1"/>
        <rFont val="Calibri"/>
        <family val="2"/>
        <scheme val="minor"/>
      </rPr>
      <t>A4</t>
    </r>
    <r>
      <rPr>
        <sz val="11"/>
        <color theme="1"/>
        <rFont val="Calibri"/>
        <family val="2"/>
        <scheme val="minor"/>
      </rPr>
      <t xml:space="preserve"> and </t>
    </r>
    <r>
      <rPr>
        <b/>
        <sz val="11"/>
        <color theme="1"/>
        <rFont val="Calibri"/>
        <family val="2"/>
        <scheme val="minor"/>
      </rPr>
      <t>B4</t>
    </r>
    <r>
      <rPr>
        <sz val="11"/>
        <color theme="1"/>
        <rFont val="Calibri"/>
        <family val="2"/>
        <scheme val="minor"/>
      </rPr>
      <t xml:space="preserve"> to create the employee ID </t>
    </r>
    <r>
      <rPr>
        <b/>
        <sz val="11"/>
        <color theme="1"/>
        <rFont val="Calibri"/>
        <family val="2"/>
        <scheme val="minor"/>
      </rPr>
      <t>F1180</t>
    </r>
    <r>
      <rPr>
        <sz val="11"/>
        <color theme="1"/>
        <rFont val="Calibri"/>
        <family val="2"/>
        <scheme val="minor"/>
      </rPr>
      <t>. Copy the formula down for the rest of the staff.</t>
    </r>
  </si>
  <si>
    <r>
      <t xml:space="preserve">In </t>
    </r>
    <r>
      <rPr>
        <b/>
        <sz val="11"/>
        <color theme="1"/>
        <rFont val="Calibri"/>
        <family val="2"/>
        <scheme val="minor"/>
      </rPr>
      <t>F4</t>
    </r>
    <r>
      <rPr>
        <sz val="11"/>
        <color theme="1"/>
        <rFont val="Calibri"/>
        <family val="2"/>
        <scheme val="minor"/>
      </rPr>
      <t>, generate the full name for each staff member by joining the first name, a space and the surname.</t>
    </r>
  </si>
  <si>
    <r>
      <t xml:space="preserve">Adjust the formula in </t>
    </r>
    <r>
      <rPr>
        <b/>
        <sz val="11"/>
        <color theme="1"/>
        <rFont val="Calibri"/>
        <family val="2"/>
        <scheme val="minor"/>
      </rPr>
      <t>L4</t>
    </r>
    <r>
      <rPr>
        <sz val="11"/>
        <color theme="1"/>
        <rFont val="Calibri"/>
        <family val="2"/>
        <scheme val="minor"/>
      </rPr>
      <t xml:space="preserve"> so that all instances of </t>
    </r>
    <r>
      <rPr>
        <b/>
        <sz val="11"/>
        <color theme="1"/>
        <rFont val="Calibri"/>
        <family val="2"/>
        <scheme val="minor"/>
      </rPr>
      <t>NorthEast</t>
    </r>
    <r>
      <rPr>
        <sz val="11"/>
        <color theme="1"/>
        <rFont val="Calibri"/>
        <family val="2"/>
        <scheme val="minor"/>
      </rPr>
      <t xml:space="preserve"> are replaced with just </t>
    </r>
    <r>
      <rPr>
        <b/>
        <sz val="11"/>
        <color theme="1"/>
        <rFont val="Calibri"/>
        <family val="2"/>
        <scheme val="minor"/>
      </rPr>
      <t>North</t>
    </r>
    <r>
      <rPr>
        <sz val="11"/>
        <color theme="1"/>
        <rFont val="Calibri"/>
        <family val="2"/>
        <scheme val="minor"/>
      </rPr>
      <t xml:space="preserve"> and copy down again.</t>
    </r>
  </si>
  <si>
    <r>
      <t xml:space="preserve">In </t>
    </r>
    <r>
      <rPr>
        <b/>
        <sz val="11"/>
        <color theme="1"/>
        <rFont val="Calibri"/>
        <family val="2"/>
        <scheme val="minor"/>
      </rPr>
      <t>G4</t>
    </r>
    <r>
      <rPr>
        <sz val="11"/>
        <color theme="1"/>
        <rFont val="Calibri"/>
        <family val="2"/>
        <scheme val="minor"/>
      </rPr>
      <t>, generate an email address by joining  the first letter of the first name, the surname and "@zenco.com" to get Sbacata@zenco.com.</t>
    </r>
  </si>
  <si>
    <r>
      <t xml:space="preserve">In </t>
    </r>
    <r>
      <rPr>
        <b/>
        <sz val="11"/>
        <color theme="1"/>
        <rFont val="Calibri"/>
        <family val="2"/>
        <scheme val="minor"/>
      </rPr>
      <t>L4</t>
    </r>
    <r>
      <rPr>
        <sz val="11"/>
        <color theme="1"/>
        <rFont val="Calibri"/>
        <family val="2"/>
        <scheme val="minor"/>
      </rPr>
      <t>, extract the text between the two dashes (</t>
    </r>
    <r>
      <rPr>
        <b/>
        <sz val="11"/>
        <color theme="1"/>
        <rFont val="Calibri"/>
        <family val="2"/>
        <scheme val="minor"/>
      </rPr>
      <t>West</t>
    </r>
    <r>
      <rPr>
        <sz val="11"/>
        <color theme="1"/>
        <rFont val="Calibri"/>
        <family val="2"/>
        <scheme val="minor"/>
      </rPr>
      <t>) in Location then copy down to make sure it works for all staff.</t>
    </r>
  </si>
  <si>
    <r>
      <t xml:space="preserve">In </t>
    </r>
    <r>
      <rPr>
        <b/>
        <sz val="11"/>
        <color theme="1"/>
        <rFont val="Calibri"/>
        <family val="2"/>
        <scheme val="minor"/>
      </rPr>
      <t>M4</t>
    </r>
    <r>
      <rPr>
        <sz val="11"/>
        <color theme="1"/>
        <rFont val="Calibri"/>
        <family val="2"/>
        <scheme val="minor"/>
      </rPr>
      <t xml:space="preserve">, extract the last 4 characters from the </t>
    </r>
    <r>
      <rPr>
        <b/>
        <sz val="11"/>
        <color theme="1"/>
        <rFont val="Calibri"/>
        <family val="2"/>
        <scheme val="minor"/>
      </rPr>
      <t>Location</t>
    </r>
    <r>
      <rPr>
        <sz val="11"/>
        <color theme="1"/>
        <rFont val="Calibri"/>
        <family val="2"/>
        <scheme val="minor"/>
      </rPr>
      <t xml:space="preserve"> in </t>
    </r>
    <r>
      <rPr>
        <b/>
        <sz val="11"/>
        <color theme="1"/>
        <rFont val="Calibri"/>
        <family val="2"/>
        <scheme val="minor"/>
      </rPr>
      <t>J4</t>
    </r>
    <r>
      <rPr>
        <sz val="11"/>
        <color theme="1"/>
        <rFont val="Calibri"/>
        <family val="2"/>
        <scheme val="minor"/>
      </rPr>
      <t>.</t>
    </r>
  </si>
  <si>
    <r>
      <t xml:space="preserve">In </t>
    </r>
    <r>
      <rPr>
        <b/>
        <sz val="11"/>
        <color theme="1"/>
        <rFont val="Calibri"/>
        <family val="2"/>
        <scheme val="minor"/>
      </rPr>
      <t>K4</t>
    </r>
    <r>
      <rPr>
        <sz val="11"/>
        <color theme="1"/>
        <rFont val="Calibri"/>
        <family val="2"/>
        <scheme val="minor"/>
      </rPr>
      <t xml:space="preserve">, extract just the floor number from </t>
    </r>
    <r>
      <rPr>
        <b/>
        <sz val="11"/>
        <color theme="1"/>
        <rFont val="Calibri"/>
        <family val="2"/>
        <scheme val="minor"/>
      </rPr>
      <t>J4</t>
    </r>
    <r>
      <rPr>
        <sz val="11"/>
        <color theme="1"/>
        <rFont val="Calibri"/>
        <family val="2"/>
        <scheme val="minor"/>
      </rPr>
      <t xml:space="preserve"> (first 2 numbers) and then copy it down.</t>
    </r>
  </si>
  <si>
    <r>
      <t xml:space="preserve">Add another function to the calculation in </t>
    </r>
    <r>
      <rPr>
        <b/>
        <sz val="11"/>
        <color theme="1"/>
        <rFont val="Calibri"/>
        <family val="2"/>
        <scheme val="minor"/>
      </rPr>
      <t>F4</t>
    </r>
    <r>
      <rPr>
        <sz val="11"/>
        <color theme="1"/>
        <rFont val="Calibri"/>
        <family val="2"/>
        <scheme val="minor"/>
      </rPr>
      <t xml:space="preserve"> so that all the names show in Proper case and then copy the calculation down.</t>
    </r>
  </si>
  <si>
    <r>
      <t xml:space="preserve">Adjust the calculation in </t>
    </r>
    <r>
      <rPr>
        <b/>
        <sz val="11"/>
        <color theme="1"/>
        <rFont val="Calibri"/>
        <family val="2"/>
        <scheme val="minor"/>
      </rPr>
      <t>G4</t>
    </r>
    <r>
      <rPr>
        <sz val="11"/>
        <color theme="1"/>
        <rFont val="Calibri"/>
        <family val="2"/>
        <scheme val="minor"/>
      </rPr>
      <t xml:space="preserve"> so that the email is shown in all lower case and copy it down.</t>
    </r>
  </si>
  <si>
    <t>Excel Skills for Data Analytics and Visualization</t>
  </si>
  <si>
    <t>Course 1 — Excel Fundamentals for Data Analysis</t>
  </si>
  <si>
    <t xml:space="preserve">7) </t>
  </si>
  <si>
    <t>Make  one Macro enabled Dashboard .</t>
  </si>
  <si>
    <t>Row Labels</t>
  </si>
  <si>
    <t>Grand Total</t>
  </si>
  <si>
    <t>Count of Full Name</t>
  </si>
  <si>
    <t>Total employees</t>
  </si>
  <si>
    <t>Total Employees</t>
  </si>
  <si>
    <t>full time</t>
  </si>
  <si>
    <t>part time %</t>
  </si>
  <si>
    <t>Count of Emp ID</t>
  </si>
  <si>
    <t>No of employees</t>
  </si>
  <si>
    <t>Emp by Department</t>
  </si>
  <si>
    <t>Emp by Full/Part Time</t>
  </si>
  <si>
    <t>Full-time Employees</t>
  </si>
  <si>
    <t>Part-time Employees</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</si>
</sst>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xmlns:xr9="http://schemas.microsoft.com/office/spreadsheetml/2016/revision9" mc:Ignorable="x14ac x16r2 xr xr9">
  <fonts count="13" x14ac:knownFonts="1">
    <font>
      <sz val="11"/>
      <color theme="1"/>
      <name val="Calibri"/>
      <family val="2"/>
      <scheme val="minor"/>
    </font>
    <font>
      <sz val="18"/>
      <color theme="3"/>
      <name val="Calibri Light"/>
      <family val="2"/>
      <scheme val="major"/>
    </font>
    <font>
      <sz val="11"/>
      <color theme="0"/>
      <name val="Calibri"/>
      <family val="2"/>
      <scheme val="minor"/>
    </font>
    <font>
      <sz val="11"/>
      <name val="Calibri"/>
      <family val="2"/>
      <scheme val="minor"/>
    </font>
    <font>
      <sz val="12"/>
      <color theme="0"/>
      <name val="Calibri"/>
      <family val="2"/>
      <scheme val="minor"/>
    </font>
    <font>
      <sz val="11"/>
      <color rgb="FF000000"/>
      <name val="Calibri"/>
      <family val="2"/>
      <scheme val="minor"/>
    </font>
    <font>
      <b/>
      <sz val="11"/>
      <color theme="1"/>
      <name val="Calibri"/>
      <family val="2"/>
      <scheme val="minor"/>
    </font>
    <font>
      <sz val="14"/>
      <color theme="1"/>
      <name val="Calibri"/>
      <family val="2"/>
      <scheme val="minor"/>
    </font>
    <font>
      <sz val="16"/>
      <color theme="1"/>
      <name val="Calibri"/>
      <family val="2"/>
      <scheme val="minor"/>
    </font>
    <font>
      <sz val="24"/>
      <color theme="1"/>
      <name val="Calibri"/>
      <family val="2"/>
      <scheme val="minor"/>
    </font>
    <font>
      <b/>
      <sz val="14"/>
      <color theme="1"/>
      <name val="Calibri"/>
      <family val="2"/>
      <scheme val="minor"/>
    </font>
    <font>
      <sz val="11"/>
      <color rgb="FFC00000"/>
      <name val="Calibri"/>
      <family val="2"/>
      <scheme val="minor"/>
    </font>
    <font>
      <sz val="14"/>
      <color rgb="FF7F7F7F"/>
      <name val="Times New Roman"/>
      <family val="1"/>
    </font>
  </fonts>
  <fills count="4">
    <fill>
      <patternFill patternType="none"/>
    </fill>
    <fill>
      <patternFill patternType="gray125"/>
    </fill>
    <fill>
      <patternFill patternType="solid">
        <fgColor theme="4"/>
      </patternFill>
    </fill>
    <fill>
      <patternFill patternType="solid">
        <fgColor theme="0" tint="-4.9989318521683403E-2"/>
        <bgColor indexed="64"/>
      </patternFill>
    </fill>
  </fills>
  <borders count="9">
    <border>
      <left/>
      <right/>
      <top/>
      <bottom/>
      <diagonal/>
    </border>
    <border>
      <left/>
      <right/>
      <top/>
      <bottom style="medium">
        <color indexed="64"/>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style="thin">
        <color indexed="64"/>
      </top>
      <bottom/>
      <diagonal/>
    </border>
    <border>
      <left style="thin">
        <color indexed="64"/>
      </left>
      <right style="thin">
        <color indexed="64"/>
      </right>
      <top/>
      <bottom style="thin">
        <color indexed="64"/>
      </bottom>
      <diagonal/>
    </border>
    <border>
      <left style="thin">
        <color indexed="64"/>
      </left>
      <right/>
      <top style="thin">
        <color indexed="64"/>
      </top>
      <bottom/>
      <diagonal/>
    </border>
    <border>
      <left/>
      <right style="thin">
        <color indexed="64"/>
      </right>
      <top style="thin">
        <color indexed="64"/>
      </top>
      <bottom/>
      <diagonal/>
    </border>
    <border>
      <left style="thin">
        <color indexed="64"/>
      </left>
      <right/>
      <top/>
      <bottom style="thin">
        <color indexed="64"/>
      </bottom>
      <diagonal/>
    </border>
    <border>
      <left/>
      <right style="thin">
        <color indexed="64"/>
      </right>
      <top/>
      <bottom style="thin">
        <color indexed="64"/>
      </bottom>
      <diagonal/>
    </border>
  </borders>
  <cellStyleXfs count="3">
    <xf numFmtId="0" fontId="0" fillId="0" borderId="0"/>
    <xf numFmtId="0" fontId="1" fillId="0" borderId="0" applyNumberFormat="0" applyFill="0" applyBorder="0" applyAlignment="0" applyProtection="0"/>
    <xf numFmtId="0" fontId="2" fillId="2" borderId="0" applyNumberFormat="0" applyBorder="0" applyAlignment="0" applyProtection="0"/>
  </cellStyleXfs>
  <cellXfs count="30">
    <xf numFmtId="0" fontId="0" fillId="0" borderId="0" xfId="0"/>
    <xf numFmtId="14" fontId="0" fillId="0" borderId="0" xfId="0" applyNumberFormat="1"/>
    <xf numFmtId="0" fontId="3" fillId="0" borderId="0" xfId="0" applyFont="1" applyAlignment="1">
      <alignment horizontal="left" wrapText="1"/>
    </xf>
    <xf numFmtId="0" fontId="1" fillId="0" borderId="0" xfId="1"/>
    <xf numFmtId="0" fontId="4" fillId="2" borderId="0" xfId="2" applyFont="1" applyBorder="1" applyAlignment="1">
      <alignment horizontal="left" wrapText="1"/>
    </xf>
    <xf numFmtId="0" fontId="5" fillId="0" borderId="0" xfId="0" applyFont="1" applyAlignment="1">
      <alignment wrapText="1"/>
    </xf>
    <xf numFmtId="0" fontId="0" fillId="0" borderId="1" xfId="0" applyBorder="1"/>
    <xf numFmtId="0" fontId="0" fillId="0" borderId="0" xfId="0" applyAlignment="1">
      <alignment horizontal="right"/>
    </xf>
    <xf numFmtId="0" fontId="11" fillId="0" borderId="0" xfId="0" applyFont="1" applyAlignment="1">
      <alignment horizontal="right"/>
    </xf>
    <xf numFmtId="0" fontId="1" fillId="0" borderId="0" xfId="1" applyAlignment="1">
      <alignment horizontal="left"/>
    </xf>
    <xf numFmtId="0" fontId="0" fillId="0" borderId="0" xfId="0" applyAlignment="1">
      <alignment horizontal="left"/>
    </xf>
    <xf numFmtId="0" fontId="7" fillId="0" borderId="1" xfId="0" applyFont="1" applyBorder="1" applyAlignment="1">
      <alignment horizontal="left"/>
    </xf>
    <xf numFmtId="0" fontId="0" fillId="0" borderId="0" xfId="0" applyAlignment="1">
      <alignment horizontal="center" vertical="center"/>
    </xf>
    <xf numFmtId="0" fontId="0" fillId="0" borderId="0" xfId="0" pivotButton="1"/>
    <xf numFmtId="0" fontId="12" fillId="0" borderId="0" xfId="0" applyFont="1"/>
    <xf numFmtId="0" fontId="0" fillId="0" borderId="3" xfId="0" applyBorder="1" applyAlignment="1">
      <alignment horizontal="center" vertical="center"/>
    </xf>
    <xf numFmtId="0" fontId="0" fillId="0" borderId="4" xfId="0" applyBorder="1" applyAlignment="1">
      <alignment horizontal="center" vertical="center"/>
    </xf>
    <xf numFmtId="0" fontId="0" fillId="0" borderId="5" xfId="0" applyBorder="1" applyAlignment="1">
      <alignment horizontal="center" vertical="center"/>
    </xf>
    <xf numFmtId="0" fontId="0" fillId="0" borderId="6" xfId="0" applyBorder="1" applyAlignment="1">
      <alignment horizontal="center" vertical="center"/>
    </xf>
    <xf numFmtId="0" fontId="0" fillId="0" borderId="7" xfId="0" applyBorder="1" applyAlignment="1">
      <alignment horizontal="center" vertical="center"/>
    </xf>
    <xf numFmtId="0" fontId="0" fillId="0" borderId="8" xfId="0" applyBorder="1" applyAlignment="1">
      <alignment horizontal="center" vertical="center"/>
    </xf>
    <xf numFmtId="10" fontId="0" fillId="0" borderId="0" xfId="0" applyNumberFormat="1"/>
    <xf numFmtId="0" fontId="0" fillId="0" borderId="3" xfId="0" applyBorder="1"/>
    <xf numFmtId="10" fontId="0" fillId="0" borderId="4" xfId="0" applyNumberFormat="1" applyBorder="1"/>
    <xf numFmtId="10" fontId="0" fillId="0" borderId="4" xfId="0" applyNumberFormat="1" applyBorder="1" applyAlignment="1">
      <alignment horizontal="center" vertical="center"/>
    </xf>
    <xf numFmtId="0" fontId="0" fillId="0" borderId="2" xfId="0" applyBorder="1" applyAlignment="1">
      <alignment horizontal="center" vertical="center"/>
    </xf>
    <xf numFmtId="0" fontId="10" fillId="3" borderId="0" xfId="0" applyFont="1" applyFill="1" applyAlignment="1">
      <alignment horizontal="center" vertical="center"/>
    </xf>
    <xf numFmtId="0" fontId="9" fillId="0" borderId="0" xfId="0" applyFont="1" applyAlignment="1">
      <alignment horizontal="center"/>
    </xf>
    <xf numFmtId="0" fontId="8" fillId="0" borderId="0" xfId="0" applyFont="1" applyAlignment="1">
      <alignment horizontal="center"/>
    </xf>
    <xf numFmtId="0" fontId="0" fillId="0" borderId="0" xfId="0" applyNumberFormat="1"/>
  </cellXfs>
  <cellStyles count="3">
    <cellStyle name="Accent1" xfId="2" builtinId="29"/>
    <cellStyle name="Normal" xfId="0" builtinId="0"/>
    <cellStyle name="Title" xfId="1" builtinId="15"/>
  </cellStyles>
  <dxfs count="0"/>
  <tableStyles count="1" defaultTableStyle="TableStyleMedium2" defaultPivotStyle="PivotStyleLight16">
    <tableStyle name="Invisible" pivot="0" table="0" count="0" xr9:uid="{C7AB5486-B880-4551-9DA1-A17A715336B9}"/>
  </tableStyles>
  <colors>
    <mruColors>
      <color rgb="FF007879"/>
      <color rgb="FFFF40FF"/>
      <color rgb="FF00A8AA"/>
      <color rgb="FF73FEFF"/>
      <color rgb="FF3DAAD6"/>
      <color rgb="FF38D4D6"/>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microsoft.com/office/2007/relationships/slicerCache" Target="slicerCaches/slicerCache2.xml"/><Relationship Id="rId13" Type="http://schemas.microsoft.com/office/2006/relationships/vbaProject" Target="vbaProject.bin"/><Relationship Id="rId3" Type="http://schemas.openxmlformats.org/officeDocument/2006/relationships/worksheet" Target="worksheets/sheet3.xml"/><Relationship Id="rId7" Type="http://schemas.microsoft.com/office/2007/relationships/slicerCache" Target="slicerCaches/slicerCache1.xml"/><Relationship Id="rId12" Type="http://schemas.openxmlformats.org/officeDocument/2006/relationships/calcChain" Target="calcChain.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pivotCacheDefinition" Target="pivotCache/pivotCacheDefinition1.xml"/><Relationship Id="rId11" Type="http://schemas.openxmlformats.org/officeDocument/2006/relationships/sharedStrings" Target="sharedStrings.xml"/><Relationship Id="rId5" Type="http://schemas.openxmlformats.org/officeDocument/2006/relationships/externalLink" Target="externalLinks/externalLink1.xml"/><Relationship Id="rId10" Type="http://schemas.openxmlformats.org/officeDocument/2006/relationships/styles" Target="styles.xml"/><Relationship Id="rId4" Type="http://schemas.openxmlformats.org/officeDocument/2006/relationships/worksheet" Target="worksheets/sheet4.xml"/><Relationship Id="rId9" Type="http://schemas.openxmlformats.org/officeDocument/2006/relationships/theme" Target="theme/theme1.xml"/></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3.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_rels/chart4.xml.rels><?xml version="1.0" encoding="UTF-8" standalone="yes"?>
<Relationships xmlns="http://schemas.openxmlformats.org/package/2006/relationships"><Relationship Id="rId2" Type="http://schemas.microsoft.com/office/2011/relationships/chartColorStyle" Target="colors4.xml"/><Relationship Id="rId1" Type="http://schemas.microsoft.com/office/2011/relationships/chartStyle" Target="style4.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pivotSource>
    <c:name>[Hr.xlsm]Pivot Table!PivotTable2</c:name>
    <c:fmtId val="0"/>
  </c:pivotSource>
  <c:chart>
    <c:title>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ivotFmts>
      <c:pivotFmt>
        <c:idx val="0"/>
        <c:spPr>
          <a:solidFill>
            <a:schemeClr val="accent1"/>
          </a:solidFill>
          <a:ln>
            <a:noFill/>
          </a:ln>
          <a:effectLst/>
          <a:sp3d/>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view3D>
      <c:rotX val="15"/>
      <c:rotY val="20"/>
      <c:depthPercent val="100"/>
      <c:rAngAx val="1"/>
    </c:view3D>
    <c:floor>
      <c:thickness val="0"/>
      <c:spPr>
        <a:noFill/>
        <a:ln>
          <a:noFill/>
        </a:ln>
        <a:effectLst/>
        <a:sp3d/>
      </c:spPr>
    </c:floor>
    <c:sideWall>
      <c:thickness val="0"/>
      <c:spPr>
        <a:noFill/>
        <a:ln>
          <a:noFill/>
        </a:ln>
        <a:effectLst/>
        <a:sp3d/>
      </c:spPr>
    </c:sideWall>
    <c:backWall>
      <c:thickness val="0"/>
      <c:spPr>
        <a:noFill/>
        <a:ln>
          <a:noFill/>
        </a:ln>
        <a:effectLst/>
        <a:sp3d/>
      </c:spPr>
    </c:backWall>
    <c:plotArea>
      <c:layout/>
      <c:bar3DChart>
        <c:barDir val="col"/>
        <c:grouping val="clustered"/>
        <c:varyColors val="0"/>
        <c:ser>
          <c:idx val="0"/>
          <c:order val="0"/>
          <c:tx>
            <c:strRef>
              <c:f>'Pivot Table'!$G$3</c:f>
              <c:strCache>
                <c:ptCount val="1"/>
                <c:pt idx="0">
                  <c:v>Total</c:v>
                </c:pt>
              </c:strCache>
            </c:strRef>
          </c:tx>
          <c:spPr>
            <a:solidFill>
              <a:schemeClr val="accent1"/>
            </a:solidFill>
            <a:ln>
              <a:noFill/>
            </a:ln>
            <a:effectLst/>
            <a:sp3d/>
          </c:spPr>
          <c:invertIfNegative val="0"/>
          <c:cat>
            <c:strRef>
              <c:f>'Pivot Table'!$F$4:$F$6</c:f>
              <c:strCache>
                <c:ptCount val="2"/>
                <c:pt idx="0">
                  <c:v>F</c:v>
                </c:pt>
                <c:pt idx="1">
                  <c:v>P</c:v>
                </c:pt>
              </c:strCache>
            </c:strRef>
          </c:cat>
          <c:val>
            <c:numRef>
              <c:f>'Pivot Table'!$G$4:$G$6</c:f>
              <c:numCache>
                <c:formatCode>General</c:formatCode>
                <c:ptCount val="2"/>
                <c:pt idx="0">
                  <c:v>17</c:v>
                </c:pt>
                <c:pt idx="1">
                  <c:v>18</c:v>
                </c:pt>
              </c:numCache>
            </c:numRef>
          </c:val>
          <c:extLst>
            <c:ext xmlns:c16="http://schemas.microsoft.com/office/drawing/2014/chart" uri="{C3380CC4-5D6E-409C-BE32-E72D297353CC}">
              <c16:uniqueId val="{00000000-181D-F042-85D4-CE3D72E7D7FA}"/>
            </c:ext>
          </c:extLst>
        </c:ser>
        <c:dLbls>
          <c:showLegendKey val="0"/>
          <c:showVal val="0"/>
          <c:showCatName val="0"/>
          <c:showSerName val="0"/>
          <c:showPercent val="0"/>
          <c:showBubbleSize val="0"/>
        </c:dLbls>
        <c:gapWidth val="150"/>
        <c:shape val="box"/>
        <c:axId val="1712870656"/>
        <c:axId val="1712870208"/>
        <c:axId val="0"/>
      </c:bar3DChart>
      <c:catAx>
        <c:axId val="1712870656"/>
        <c:scaling>
          <c:orientation val="minMax"/>
        </c:scaling>
        <c:delete val="0"/>
        <c:axPos val="b"/>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712870208"/>
        <c:crosses val="autoZero"/>
        <c:auto val="1"/>
        <c:lblAlgn val="ctr"/>
        <c:lblOffset val="100"/>
        <c:noMultiLvlLbl val="0"/>
      </c:catAx>
      <c:valAx>
        <c:axId val="1712870208"/>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712870656"/>
        <c:crosses val="autoZero"/>
        <c:crossBetween val="between"/>
      </c:valAx>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pivotSource>
    <c:name>[Hr.xlsm]Pivot Table!PivotTable3</c:name>
    <c:fmtId val="0"/>
  </c:pivotSource>
  <c:chart>
    <c:title>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ivotFmts>
      <c:pivotFmt>
        <c:idx val="0"/>
        <c:spPr>
          <a:solidFill>
            <a:schemeClr val="accent1"/>
          </a:solidFill>
          <a:ln>
            <a:noFill/>
          </a:ln>
          <a:effectLst/>
          <a:sp3d/>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view3D>
      <c:rotX val="15"/>
      <c:rotY val="20"/>
      <c:depthPercent val="100"/>
      <c:rAngAx val="1"/>
    </c:view3D>
    <c:floor>
      <c:thickness val="0"/>
      <c:spPr>
        <a:noFill/>
        <a:ln>
          <a:noFill/>
        </a:ln>
        <a:effectLst/>
        <a:sp3d/>
      </c:spPr>
    </c:floor>
    <c:sideWall>
      <c:thickness val="0"/>
      <c:spPr>
        <a:noFill/>
        <a:ln>
          <a:noFill/>
        </a:ln>
        <a:effectLst/>
        <a:sp3d/>
      </c:spPr>
    </c:sideWall>
    <c:backWall>
      <c:thickness val="0"/>
      <c:spPr>
        <a:noFill/>
        <a:ln>
          <a:noFill/>
        </a:ln>
        <a:effectLst/>
        <a:sp3d/>
      </c:spPr>
    </c:backWall>
    <c:plotArea>
      <c:layout>
        <c:manualLayout>
          <c:layoutTarget val="inner"/>
          <c:xMode val="edge"/>
          <c:yMode val="edge"/>
          <c:x val="6.6580927384076991E-2"/>
          <c:y val="0.17171296296296298"/>
          <c:w val="0.78645603674540687"/>
          <c:h val="0.52003317293671625"/>
        </c:manualLayout>
      </c:layout>
      <c:bar3DChart>
        <c:barDir val="col"/>
        <c:grouping val="clustered"/>
        <c:varyColors val="0"/>
        <c:ser>
          <c:idx val="0"/>
          <c:order val="0"/>
          <c:tx>
            <c:strRef>
              <c:f>'Pivot Table'!$G$11</c:f>
              <c:strCache>
                <c:ptCount val="1"/>
                <c:pt idx="0">
                  <c:v>Total</c:v>
                </c:pt>
              </c:strCache>
            </c:strRef>
          </c:tx>
          <c:spPr>
            <a:solidFill>
              <a:schemeClr val="accent1"/>
            </a:solidFill>
            <a:ln>
              <a:noFill/>
            </a:ln>
            <a:effectLst/>
            <a:sp3d/>
          </c:spPr>
          <c:invertIfNegative val="0"/>
          <c:cat>
            <c:strRef>
              <c:f>'Pivot Table'!$F$12:$F$19</c:f>
              <c:strCache>
                <c:ptCount val="7"/>
                <c:pt idx="0">
                  <c:v>Accounting</c:v>
                </c:pt>
                <c:pt idx="1">
                  <c:v>Customer Service</c:v>
                </c:pt>
                <c:pt idx="2">
                  <c:v>Executive</c:v>
                </c:pt>
                <c:pt idx="3">
                  <c:v>Facilities</c:v>
                </c:pt>
                <c:pt idx="4">
                  <c:v>Human Resources</c:v>
                </c:pt>
                <c:pt idx="5">
                  <c:v>IT</c:v>
                </c:pt>
                <c:pt idx="6">
                  <c:v>Sales</c:v>
                </c:pt>
              </c:strCache>
            </c:strRef>
          </c:cat>
          <c:val>
            <c:numRef>
              <c:f>'Pivot Table'!$G$12:$G$19</c:f>
              <c:numCache>
                <c:formatCode>General</c:formatCode>
                <c:ptCount val="7"/>
                <c:pt idx="0">
                  <c:v>4</c:v>
                </c:pt>
                <c:pt idx="1">
                  <c:v>5</c:v>
                </c:pt>
                <c:pt idx="2">
                  <c:v>2</c:v>
                </c:pt>
                <c:pt idx="3">
                  <c:v>1</c:v>
                </c:pt>
                <c:pt idx="4">
                  <c:v>3</c:v>
                </c:pt>
                <c:pt idx="5">
                  <c:v>5</c:v>
                </c:pt>
                <c:pt idx="6">
                  <c:v>15</c:v>
                </c:pt>
              </c:numCache>
            </c:numRef>
          </c:val>
          <c:extLst>
            <c:ext xmlns:c16="http://schemas.microsoft.com/office/drawing/2014/chart" uri="{C3380CC4-5D6E-409C-BE32-E72D297353CC}">
              <c16:uniqueId val="{00000000-002C-1B43-BC0D-D9E4280BF464}"/>
            </c:ext>
          </c:extLst>
        </c:ser>
        <c:dLbls>
          <c:showLegendKey val="0"/>
          <c:showVal val="0"/>
          <c:showCatName val="0"/>
          <c:showSerName val="0"/>
          <c:showPercent val="0"/>
          <c:showBubbleSize val="0"/>
        </c:dLbls>
        <c:gapWidth val="150"/>
        <c:shape val="box"/>
        <c:axId val="1636687744"/>
        <c:axId val="1636700544"/>
        <c:axId val="0"/>
      </c:bar3DChart>
      <c:catAx>
        <c:axId val="1636687744"/>
        <c:scaling>
          <c:orientation val="minMax"/>
        </c:scaling>
        <c:delete val="0"/>
        <c:axPos val="b"/>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636700544"/>
        <c:crosses val="autoZero"/>
        <c:auto val="1"/>
        <c:lblAlgn val="ctr"/>
        <c:lblOffset val="100"/>
        <c:noMultiLvlLbl val="0"/>
      </c:catAx>
      <c:valAx>
        <c:axId val="1636700544"/>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636687744"/>
        <c:crosses val="autoZero"/>
        <c:crossBetween val="between"/>
      </c:valAx>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pivotSource>
    <c:name>[Hr.xlsm]Pivot Table!PivotTable2</c:name>
    <c:fmtId val="3"/>
  </c:pivotSource>
  <c:chart>
    <c:title>
      <c:overlay val="0"/>
      <c:spPr>
        <a:noFill/>
        <a:ln>
          <a:noFill/>
        </a:ln>
        <a:effectLst/>
      </c:spPr>
      <c:txPr>
        <a:bodyPr rot="0" spcFirstLastPara="1" vertOverflow="ellipsis" vert="horz" wrap="square" anchor="ctr" anchorCtr="1"/>
        <a:lstStyle/>
        <a:p>
          <a:pPr>
            <a:defRPr sz="1800" b="1" i="0" u="none" strike="noStrike" kern="1200" baseline="0">
              <a:solidFill>
                <a:schemeClr val="dk1">
                  <a:lumMod val="75000"/>
                  <a:lumOff val="25000"/>
                </a:schemeClr>
              </a:solidFill>
              <a:latin typeface="+mn-lt"/>
              <a:ea typeface="+mn-ea"/>
              <a:cs typeface="+mn-cs"/>
            </a:defRPr>
          </a:pPr>
          <a:endParaRPr lang="en-US"/>
        </a:p>
      </c:txPr>
    </c:title>
    <c:autoTitleDeleted val="0"/>
    <c:pivotFmts>
      <c:pivotFmt>
        <c:idx val="0"/>
        <c:spPr>
          <a:solidFill>
            <a:schemeClr val="accent1"/>
          </a:solidFill>
          <a:ln>
            <a:noFill/>
          </a:ln>
          <a:effectLst>
            <a:outerShdw blurRad="254000" sx="102000" sy="102000" algn="ctr" rotWithShape="0">
              <a:prstClr val="black">
                <a:alpha val="20000"/>
              </a:prstClr>
            </a:outerShdw>
          </a:effectLst>
        </c:spPr>
        <c:marker>
          <c:symbol val="circle"/>
          <c:size val="6"/>
        </c:marker>
        <c:dLbl>
          <c:idx val="0"/>
          <c:spPr>
            <a:pattFill prst="pct75">
              <a:fgClr>
                <a:sysClr val="windowText" lastClr="000000">
                  <a:lumMod val="75000"/>
                  <a:lumOff val="25000"/>
                </a:sysClr>
              </a:fgClr>
              <a:bgClr>
                <a:sysClr val="windowText" lastClr="000000">
                  <a:lumMod val="65000"/>
                  <a:lumOff val="35000"/>
                </a:sysClr>
              </a:bgClr>
            </a:pattFill>
            <a:ln>
              <a:noFill/>
            </a:ln>
            <a:effectLst>
              <a:outerShdw blurRad="50800" dist="38100" dir="2700000" algn="tl" rotWithShape="0">
                <a:prstClr val="black">
                  <a:alpha val="40000"/>
                </a:prstClr>
              </a:outerShdw>
            </a:effectLst>
          </c:spPr>
          <c:txPr>
            <a:bodyPr rot="0" spcFirstLastPara="1" vertOverflow="ellipsis" vert="horz" wrap="square" lIns="38100" tIns="19050" rIns="38100" bIns="19050" anchor="ctr" anchorCtr="1">
              <a:spAutoFit/>
            </a:bodyPr>
            <a:lstStyle/>
            <a:p>
              <a:pPr>
                <a:defRPr sz="1000" b="1" i="0" u="none" strike="noStrike" kern="1200" baseline="0">
                  <a:solidFill>
                    <a:schemeClr val="lt1"/>
                  </a:solidFill>
                  <a:latin typeface="+mn-lt"/>
                  <a:ea typeface="+mn-ea"/>
                  <a:cs typeface="+mn-cs"/>
                </a:defRPr>
              </a:pPr>
              <a:endParaRPr lang="en-US"/>
            </a:p>
          </c:txPr>
          <c:showLegendKey val="0"/>
          <c:showVal val="0"/>
          <c:showCatName val="0"/>
          <c:showSerName val="0"/>
          <c:showPercent val="1"/>
          <c:showBubbleSize val="0"/>
          <c:extLst>
            <c:ext xmlns:c15="http://schemas.microsoft.com/office/drawing/2012/chart" uri="{CE6537A1-D6FC-4f65-9D91-7224C49458BB}"/>
          </c:extLst>
        </c:dLbl>
      </c:pivotFmt>
    </c:pivotFmts>
    <c:plotArea>
      <c:layout/>
      <c:doughnutChart>
        <c:varyColors val="1"/>
        <c:ser>
          <c:idx val="0"/>
          <c:order val="0"/>
          <c:tx>
            <c:strRef>
              <c:f>'Pivot Table'!$G$3</c:f>
              <c:strCache>
                <c:ptCount val="1"/>
                <c:pt idx="0">
                  <c:v>Total</c:v>
                </c:pt>
              </c:strCache>
            </c:strRef>
          </c:tx>
          <c:dPt>
            <c:idx val="0"/>
            <c:bubble3D val="0"/>
            <c:spPr>
              <a:solidFill>
                <a:schemeClr val="accent1"/>
              </a:solidFill>
              <a:ln>
                <a:noFill/>
              </a:ln>
              <a:effectLst>
                <a:outerShdw blurRad="254000" sx="102000" sy="102000" algn="ctr" rotWithShape="0">
                  <a:prstClr val="black">
                    <a:alpha val="20000"/>
                  </a:prstClr>
                </a:outerShdw>
              </a:effectLst>
            </c:spPr>
          </c:dPt>
          <c:dPt>
            <c:idx val="1"/>
            <c:bubble3D val="0"/>
            <c:spPr>
              <a:solidFill>
                <a:schemeClr val="accent2"/>
              </a:solidFill>
              <a:ln>
                <a:noFill/>
              </a:ln>
              <a:effectLst>
                <a:outerShdw blurRad="254000" sx="102000" sy="102000" algn="ctr" rotWithShape="0">
                  <a:prstClr val="black">
                    <a:alpha val="20000"/>
                  </a:prstClr>
                </a:outerShdw>
              </a:effectLst>
            </c:spPr>
          </c:dPt>
          <c:dLbls>
            <c:spPr>
              <a:pattFill prst="pct75">
                <a:fgClr>
                  <a:sysClr val="windowText" lastClr="000000">
                    <a:lumMod val="75000"/>
                    <a:lumOff val="25000"/>
                  </a:sysClr>
                </a:fgClr>
                <a:bgClr>
                  <a:sysClr val="windowText" lastClr="000000">
                    <a:lumMod val="65000"/>
                    <a:lumOff val="35000"/>
                  </a:sysClr>
                </a:bgClr>
              </a:pattFill>
              <a:ln>
                <a:noFill/>
              </a:ln>
              <a:effectLst>
                <a:outerShdw blurRad="50800" dist="38100" dir="2700000" algn="tl" rotWithShape="0">
                  <a:prstClr val="black">
                    <a:alpha val="40000"/>
                  </a:prstClr>
                </a:outerShdw>
              </a:effectLst>
            </c:spPr>
            <c:txPr>
              <a:bodyPr rot="0" spcFirstLastPara="1" vertOverflow="ellipsis" vert="horz" wrap="square" lIns="38100" tIns="19050" rIns="38100" bIns="19050" anchor="ctr" anchorCtr="1">
                <a:spAutoFit/>
              </a:bodyPr>
              <a:lstStyle/>
              <a:p>
                <a:pPr>
                  <a:defRPr sz="1000" b="1" i="0" u="none" strike="noStrike" kern="1200" baseline="0">
                    <a:solidFill>
                      <a:schemeClr val="lt1"/>
                    </a:solidFill>
                    <a:latin typeface="+mn-lt"/>
                    <a:ea typeface="+mn-ea"/>
                    <a:cs typeface="+mn-cs"/>
                  </a:defRPr>
                </a:pPr>
                <a:endParaRPr lang="en-US"/>
              </a:p>
            </c:txPr>
            <c:showLegendKey val="0"/>
            <c:showVal val="0"/>
            <c:showCatName val="0"/>
            <c:showSerName val="0"/>
            <c:showPercent val="1"/>
            <c:showBubbleSize val="0"/>
            <c:showLeaderLines val="1"/>
            <c:leaderLines>
              <c:spPr>
                <a:ln w="9525">
                  <a:solidFill>
                    <a:schemeClr val="dk1">
                      <a:lumMod val="50000"/>
                      <a:lumOff val="50000"/>
                    </a:schemeClr>
                  </a:solidFill>
                </a:ln>
                <a:effectLst/>
              </c:spPr>
            </c:leaderLines>
            <c:extLst>
              <c:ext xmlns:c15="http://schemas.microsoft.com/office/drawing/2012/chart" uri="{CE6537A1-D6FC-4f65-9D91-7224C49458BB}"/>
            </c:extLst>
          </c:dLbls>
          <c:cat>
            <c:strRef>
              <c:f>'Pivot Table'!$F$4:$F$6</c:f>
              <c:strCache>
                <c:ptCount val="2"/>
                <c:pt idx="0">
                  <c:v>F</c:v>
                </c:pt>
                <c:pt idx="1">
                  <c:v>P</c:v>
                </c:pt>
              </c:strCache>
            </c:strRef>
          </c:cat>
          <c:val>
            <c:numRef>
              <c:f>'Pivot Table'!$G$4:$G$6</c:f>
              <c:numCache>
                <c:formatCode>General</c:formatCode>
                <c:ptCount val="2"/>
                <c:pt idx="0">
                  <c:v>17</c:v>
                </c:pt>
                <c:pt idx="1">
                  <c:v>18</c:v>
                </c:pt>
              </c:numCache>
            </c:numRef>
          </c:val>
          <c:extLst>
            <c:ext xmlns:c16="http://schemas.microsoft.com/office/drawing/2014/chart" uri="{C3380CC4-5D6E-409C-BE32-E72D297353CC}">
              <c16:uniqueId val="{00000000-3A49-0D46-A5DB-ABCBFA9B4F8E}"/>
            </c:ext>
          </c:extLst>
        </c:ser>
        <c:dLbls>
          <c:showLegendKey val="0"/>
          <c:showVal val="0"/>
          <c:showCatName val="0"/>
          <c:showSerName val="0"/>
          <c:showPercent val="1"/>
          <c:showBubbleSize val="0"/>
          <c:showLeaderLines val="1"/>
        </c:dLbls>
        <c:firstSliceAng val="0"/>
        <c:holeSize val="50"/>
      </c:doughnutChart>
      <c:spPr>
        <a:noFill/>
        <a:ln>
          <a:noFill/>
        </a:ln>
        <a:effectLst/>
      </c:spPr>
    </c:plotArea>
    <c:legend>
      <c:legendPos val="r"/>
      <c:overlay val="0"/>
      <c:spPr>
        <a:solidFill>
          <a:schemeClr val="lt1">
            <a:lumMod val="95000"/>
            <a:alpha val="39000"/>
          </a:schemeClr>
        </a:solidFill>
        <a:ln>
          <a:noFill/>
        </a:ln>
        <a:effectLst/>
      </c:spPr>
      <c:txPr>
        <a:bodyPr rot="0" spcFirstLastPara="1" vertOverflow="ellipsis" vert="horz" wrap="square" anchor="ctr" anchorCtr="1"/>
        <a:lstStyle/>
        <a:p>
          <a:pPr>
            <a:defRPr sz="900" b="0" i="0" u="none" strike="noStrike" kern="1200" baseline="0">
              <a:solidFill>
                <a:schemeClr val="dk1">
                  <a:lumMod val="75000"/>
                  <a:lumOff val="25000"/>
                </a:schemeClr>
              </a:solidFill>
              <a:latin typeface="+mn-lt"/>
              <a:ea typeface="+mn-ea"/>
              <a:cs typeface="+mn-cs"/>
            </a:defRPr>
          </a:pPr>
          <a:endParaRPr lang="en-US"/>
        </a:p>
      </c:txPr>
    </c:legend>
    <c:plotVisOnly val="1"/>
    <c:dispBlanksAs val="gap"/>
    <c:showDLblsOverMax val="0"/>
    <c:extLst>
      <c:ext xmlns:c16r3="http://schemas.microsoft.com/office/drawing/2017/03/chart" uri="{56B9EC1D-385E-4148-901F-78D8002777C0}">
        <c16r3:dataDisplayOptions16>
          <c16r3:dispNaAsBlank val="1"/>
        </c16r3:dataDisplayOptions16>
      </c:ext>
    </c:extLst>
  </c:chart>
  <c:spPr>
    <a:gradFill flip="none" rotWithShape="1">
      <a:gsLst>
        <a:gs pos="0">
          <a:schemeClr val="lt1"/>
        </a:gs>
        <a:gs pos="39000">
          <a:schemeClr val="lt1"/>
        </a:gs>
        <a:gs pos="100000">
          <a:schemeClr val="lt1">
            <a:lumMod val="75000"/>
          </a:schemeClr>
        </a:gs>
      </a:gsLst>
      <a:path path="circle">
        <a:fillToRect l="50000" t="-80000" r="50000" b="180000"/>
      </a:path>
      <a:tileRect/>
    </a:gradFill>
    <a:ln w="9525" cap="flat" cmpd="sng" algn="ctr">
      <a:solidFill>
        <a:schemeClr val="dk1">
          <a:lumMod val="25000"/>
          <a:lumOff val="7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pivotSource>
    <c:name>[Hr.xlsm]Pivot Table!PivotTable3</c:name>
    <c:fmtId val="2"/>
  </c:pivotSource>
  <c:chart>
    <c:title>
      <c:tx>
        <c:rich>
          <a:bodyPr rot="0" spcFirstLastPara="1" vertOverflow="ellipsis" vert="horz" wrap="square" anchor="ctr" anchorCtr="1"/>
          <a:lstStyle/>
          <a:p>
            <a:pPr>
              <a:defRPr sz="1600" b="0" i="0" u="none" strike="noStrike" kern="1200" cap="none" spc="50" baseline="0">
                <a:solidFill>
                  <a:srgbClr val="00A8AA"/>
                </a:solidFill>
                <a:latin typeface="+mn-lt"/>
                <a:ea typeface="+mn-ea"/>
                <a:cs typeface="+mn-cs"/>
              </a:defRPr>
            </a:pPr>
            <a:r>
              <a:rPr lang="en-IN" sz="3200" b="0" i="0" u="none" strike="noStrike">
                <a:solidFill>
                  <a:srgbClr val="007879"/>
                </a:solidFill>
                <a:effectLst/>
              </a:rPr>
              <a:t>Employees by Department</a:t>
            </a:r>
            <a:r>
              <a:rPr lang="en-IN" sz="2800">
                <a:solidFill>
                  <a:srgbClr val="007879"/>
                </a:solidFill>
                <a:effectLst/>
              </a:rPr>
              <a:t> </a:t>
            </a:r>
          </a:p>
        </c:rich>
      </c:tx>
      <c:overlay val="0"/>
      <c:spPr>
        <a:noFill/>
        <a:ln>
          <a:noFill/>
        </a:ln>
        <a:effectLst/>
      </c:spPr>
      <c:txPr>
        <a:bodyPr rot="0" spcFirstLastPara="1" vertOverflow="ellipsis" vert="horz" wrap="square" anchor="ctr" anchorCtr="1"/>
        <a:lstStyle/>
        <a:p>
          <a:pPr>
            <a:defRPr sz="1600" b="0" i="0" u="none" strike="noStrike" kern="1200" cap="none" spc="50" baseline="0">
              <a:solidFill>
                <a:srgbClr val="00A8AA"/>
              </a:solidFill>
              <a:latin typeface="+mn-lt"/>
              <a:ea typeface="+mn-ea"/>
              <a:cs typeface="+mn-cs"/>
            </a:defRPr>
          </a:pPr>
          <a:endParaRPr lang="en-US"/>
        </a:p>
      </c:txPr>
    </c:title>
    <c:autoTitleDeleted val="0"/>
    <c:pivotFmts>
      <c:pivotFmt>
        <c:idx val="0"/>
        <c:dLbl>
          <c:idx val="0"/>
          <c:showLegendKey val="0"/>
          <c:showVal val="0"/>
          <c:showCatName val="0"/>
          <c:showSerName val="0"/>
          <c:showPercent val="0"/>
          <c:showBubbleSize val="0"/>
          <c:extLst>
            <c:ext xmlns:c15="http://schemas.microsoft.com/office/drawing/2012/chart" uri="{CE6537A1-D6FC-4f65-9D91-7224C49458BB}"/>
          </c:extLst>
        </c:dLbl>
      </c:pivotFmt>
      <c:pivotFmt>
        <c:idx val="1"/>
        <c:dLbl>
          <c:idx val="0"/>
          <c:showLegendKey val="0"/>
          <c:showVal val="0"/>
          <c:showCatName val="0"/>
          <c:showSerName val="0"/>
          <c:showPercent val="0"/>
          <c:showBubbleSize val="0"/>
          <c:extLst>
            <c:ext xmlns:c15="http://schemas.microsoft.com/office/drawing/2012/chart" uri="{CE6537A1-D6FC-4f65-9D91-7224C49458BB}"/>
          </c:extLst>
        </c:dLbl>
      </c:pivotFmt>
      <c:pivotFmt>
        <c:idx val="2"/>
        <c:spPr>
          <a:solidFill>
            <a:srgbClr val="00A8AA"/>
          </a:solidFill>
          <a:ln>
            <a:solidFill>
              <a:schemeClr val="accent1">
                <a:lumMod val="75000"/>
              </a:schemeClr>
            </a:solidFill>
          </a:ln>
          <a:effectLst/>
          <a:scene3d>
            <a:camera prst="orthographicFront"/>
            <a:lightRig rig="threePt" dir="t"/>
          </a:scene3d>
          <a:sp3d prstMaterial="translucentPowder">
            <a:contourClr>
              <a:schemeClr val="accent1">
                <a:lumMod val="75000"/>
              </a:schemeClr>
            </a:contourClr>
          </a:sp3d>
        </c:spPr>
        <c:marker>
          <c:symbol val="circle"/>
          <c:size val="6"/>
          <c:spPr>
            <a:solidFill>
              <a:schemeClr val="accent1">
                <a:alpha val="70000"/>
              </a:schemeClr>
            </a:solidFill>
            <a:ln>
              <a:solidFill>
                <a:schemeClr val="accent1">
                  <a:lumMod val="75000"/>
                </a:schemeClr>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50000"/>
                      <a:lumOff val="50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view3D>
      <c:rotX val="15"/>
      <c:rotY val="20"/>
      <c:depthPercent val="100"/>
      <c:rAngAx val="1"/>
    </c:view3D>
    <c:floor>
      <c:thickness val="0"/>
      <c:spPr>
        <a:solidFill>
          <a:schemeClr val="lt1">
            <a:alpha val="27000"/>
          </a:schemeClr>
        </a:solidFill>
        <a:ln>
          <a:noFill/>
        </a:ln>
        <a:effectLst/>
        <a:sp3d/>
      </c:spPr>
    </c:floor>
    <c:sideWall>
      <c:thickness val="0"/>
      <c:spPr>
        <a:noFill/>
        <a:ln>
          <a:noFill/>
        </a:ln>
        <a:effectLst/>
        <a:sp3d/>
      </c:spPr>
    </c:sideWall>
    <c:backWall>
      <c:thickness val="0"/>
      <c:spPr>
        <a:noFill/>
        <a:ln>
          <a:noFill/>
        </a:ln>
        <a:effectLst/>
        <a:sp3d/>
      </c:spPr>
    </c:backWall>
    <c:plotArea>
      <c:layout>
        <c:manualLayout>
          <c:layoutTarget val="inner"/>
          <c:xMode val="edge"/>
          <c:yMode val="edge"/>
          <c:x val="6.7926791788980617E-2"/>
          <c:y val="0.18876632114023723"/>
          <c:w val="0.78645603674540687"/>
          <c:h val="0.52003317293671625"/>
        </c:manualLayout>
      </c:layout>
      <c:bar3DChart>
        <c:barDir val="col"/>
        <c:grouping val="clustered"/>
        <c:varyColors val="0"/>
        <c:ser>
          <c:idx val="0"/>
          <c:order val="0"/>
          <c:tx>
            <c:strRef>
              <c:f>'Pivot Table'!$G$11</c:f>
              <c:strCache>
                <c:ptCount val="1"/>
                <c:pt idx="0">
                  <c:v>Total</c:v>
                </c:pt>
              </c:strCache>
            </c:strRef>
          </c:tx>
          <c:spPr>
            <a:solidFill>
              <a:srgbClr val="00A8AA"/>
            </a:solidFill>
            <a:ln>
              <a:solidFill>
                <a:schemeClr val="accent1">
                  <a:lumMod val="75000"/>
                </a:schemeClr>
              </a:solidFill>
            </a:ln>
            <a:effectLst/>
            <a:scene3d>
              <a:camera prst="orthographicFront"/>
              <a:lightRig rig="threePt" dir="t"/>
            </a:scene3d>
            <a:sp3d prstMaterial="translucentPowder">
              <a:contourClr>
                <a:schemeClr val="accent1">
                  <a:lumMod val="75000"/>
                </a:schemeClr>
              </a:contourClr>
            </a:sp3d>
          </c:spPr>
          <c:invertIfNegative val="0"/>
          <c:cat>
            <c:strRef>
              <c:f>'Pivot Table'!$F$12:$F$19</c:f>
              <c:strCache>
                <c:ptCount val="7"/>
                <c:pt idx="0">
                  <c:v>Accounting</c:v>
                </c:pt>
                <c:pt idx="1">
                  <c:v>Customer Service</c:v>
                </c:pt>
                <c:pt idx="2">
                  <c:v>Executive</c:v>
                </c:pt>
                <c:pt idx="3">
                  <c:v>Facilities</c:v>
                </c:pt>
                <c:pt idx="4">
                  <c:v>Human Resources</c:v>
                </c:pt>
                <c:pt idx="5">
                  <c:v>IT</c:v>
                </c:pt>
                <c:pt idx="6">
                  <c:v>Sales</c:v>
                </c:pt>
              </c:strCache>
            </c:strRef>
          </c:cat>
          <c:val>
            <c:numRef>
              <c:f>'Pivot Table'!$G$12:$G$19</c:f>
              <c:numCache>
                <c:formatCode>General</c:formatCode>
                <c:ptCount val="7"/>
                <c:pt idx="0">
                  <c:v>4</c:v>
                </c:pt>
                <c:pt idx="1">
                  <c:v>5</c:v>
                </c:pt>
                <c:pt idx="2">
                  <c:v>2</c:v>
                </c:pt>
                <c:pt idx="3">
                  <c:v>1</c:v>
                </c:pt>
                <c:pt idx="4">
                  <c:v>3</c:v>
                </c:pt>
                <c:pt idx="5">
                  <c:v>5</c:v>
                </c:pt>
                <c:pt idx="6">
                  <c:v>15</c:v>
                </c:pt>
              </c:numCache>
            </c:numRef>
          </c:val>
          <c:extLst>
            <c:ext xmlns:c16="http://schemas.microsoft.com/office/drawing/2014/chart" uri="{C3380CC4-5D6E-409C-BE32-E72D297353CC}">
              <c16:uniqueId val="{00000000-C01D-2242-ACF4-AADE2B56486A}"/>
            </c:ext>
          </c:extLst>
        </c:ser>
        <c:dLbls>
          <c:showLegendKey val="0"/>
          <c:showVal val="0"/>
          <c:showCatName val="0"/>
          <c:showSerName val="0"/>
          <c:showPercent val="0"/>
          <c:showBubbleSize val="0"/>
        </c:dLbls>
        <c:gapWidth val="150"/>
        <c:shape val="box"/>
        <c:axId val="1636687744"/>
        <c:axId val="1636700544"/>
        <c:axId val="0"/>
      </c:bar3DChart>
      <c:catAx>
        <c:axId val="1636687744"/>
        <c:scaling>
          <c:orientation val="minMax"/>
        </c:scaling>
        <c:delete val="0"/>
        <c:axPos val="b"/>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ln>
                  <a:noFill/>
                </a:ln>
                <a:solidFill>
                  <a:srgbClr val="007879"/>
                </a:solidFill>
                <a:latin typeface="+mn-lt"/>
                <a:ea typeface="+mn-ea"/>
                <a:cs typeface="+mn-cs"/>
              </a:defRPr>
            </a:pPr>
            <a:endParaRPr lang="en-US"/>
          </a:p>
        </c:txPr>
        <c:crossAx val="1636700544"/>
        <c:crosses val="autoZero"/>
        <c:auto val="1"/>
        <c:lblAlgn val="ctr"/>
        <c:lblOffset val="100"/>
        <c:noMultiLvlLbl val="0"/>
      </c:catAx>
      <c:valAx>
        <c:axId val="1636700544"/>
        <c:scaling>
          <c:orientation val="minMax"/>
        </c:scaling>
        <c:delete val="0"/>
        <c:axPos val="l"/>
        <c:majorGridlines>
          <c:spPr>
            <a:ln w="9525" cap="flat" cmpd="sng" algn="ctr">
              <a:solidFill>
                <a:srgbClr val="38D4D6"/>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50000"/>
                    <a:lumOff val="50000"/>
                  </a:schemeClr>
                </a:solidFill>
                <a:latin typeface="+mn-lt"/>
                <a:ea typeface="+mn-ea"/>
                <a:cs typeface="+mn-cs"/>
              </a:defRPr>
            </a:pPr>
            <a:endParaRPr lang="en-US"/>
          </a:p>
        </c:txPr>
        <c:crossAx val="1636687744"/>
        <c:crosses val="autoZero"/>
        <c:crossBetween val="between"/>
      </c:valAx>
      <c:spPr>
        <a:no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noFill/>
    <a:ln w="9525" cap="flat" cmpd="sng" algn="ctr">
      <a:no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Visible val="1"/>
      </c14:pivotOptions>
    </c:ext>
    <c:ext xmlns:c16="http://schemas.microsoft.com/office/drawing/2014/chart" uri="{E28EC0CA-F0BB-4C9C-879D-F8772B89E7AC}">
      <c16:pivotOptions16>
        <c16:showExpandCollapseFieldButtons val="1"/>
      </c16:pivotOptions16>
    </c:ext>
  </c:extLst>
</c:chartSpace>
</file>

<file path=xl/charts/chart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pivotSource>
    <c:name>[Hr.xlsm]Pivot Table!PivotTable2</c:name>
    <c:fmtId val="6"/>
  </c:pivotSource>
  <c:chart>
    <c:title>
      <c:tx>
        <c:rich>
          <a:bodyPr rot="0" spcFirstLastPara="1" vertOverflow="ellipsis" vert="horz" wrap="square" anchor="ctr" anchorCtr="1"/>
          <a:lstStyle/>
          <a:p>
            <a:pPr>
              <a:defRPr sz="1800" b="1" i="0" u="none" strike="noStrike" kern="1200" baseline="0">
                <a:solidFill>
                  <a:schemeClr val="dk1">
                    <a:lumMod val="75000"/>
                    <a:lumOff val="25000"/>
                  </a:schemeClr>
                </a:solidFill>
                <a:latin typeface="+mn-lt"/>
                <a:ea typeface="+mn-ea"/>
                <a:cs typeface="+mn-cs"/>
              </a:defRPr>
            </a:pPr>
            <a:r>
              <a:rPr lang="en-GB" sz="2800" b="0">
                <a:solidFill>
                  <a:srgbClr val="007879"/>
                </a:solidFill>
              </a:rPr>
              <a:t>Full/Part-Time Employees Persentage</a:t>
            </a:r>
          </a:p>
        </c:rich>
      </c:tx>
      <c:overlay val="0"/>
      <c:spPr>
        <a:noFill/>
        <a:ln>
          <a:noFill/>
        </a:ln>
        <a:effectLst/>
      </c:spPr>
    </c:title>
    <c:autoTitleDeleted val="0"/>
    <c:pivotFmts>
      <c:pivotFmt>
        <c:idx val="0"/>
        <c:spPr>
          <a:solidFill>
            <a:schemeClr val="accent1"/>
          </a:solidFill>
          <a:ln>
            <a:noFill/>
          </a:ln>
          <a:effectLst>
            <a:outerShdw blurRad="254000" sx="102000" sy="102000" algn="ctr" rotWithShape="0">
              <a:prstClr val="black">
                <a:alpha val="20000"/>
              </a:prstClr>
            </a:outerShdw>
          </a:effectLst>
        </c:spPr>
        <c:marker>
          <c:symbol val="circle"/>
          <c:size val="6"/>
        </c:marker>
        <c:dLbl>
          <c:idx val="0"/>
          <c:spPr>
            <a:pattFill prst="pct75">
              <a:fgClr>
                <a:sysClr val="windowText" lastClr="000000">
                  <a:lumMod val="75000"/>
                  <a:lumOff val="25000"/>
                </a:sysClr>
              </a:fgClr>
              <a:bgClr>
                <a:sysClr val="windowText" lastClr="000000">
                  <a:lumMod val="65000"/>
                  <a:lumOff val="35000"/>
                </a:sysClr>
              </a:bgClr>
            </a:pattFill>
            <a:ln>
              <a:noFill/>
            </a:ln>
            <a:effectLst>
              <a:outerShdw blurRad="50800" dist="38100" dir="2700000" algn="tl" rotWithShape="0">
                <a:prstClr val="black">
                  <a:alpha val="40000"/>
                </a:prstClr>
              </a:outerShdw>
            </a:effectLst>
          </c:spPr>
          <c:txPr>
            <a:bodyPr rot="0" spcFirstLastPara="1" vertOverflow="ellipsis" vert="horz" wrap="square" lIns="38100" tIns="19050" rIns="38100" bIns="19050" anchor="ctr" anchorCtr="1">
              <a:spAutoFit/>
            </a:bodyPr>
            <a:lstStyle/>
            <a:p>
              <a:pPr>
                <a:defRPr sz="1000" b="1" i="0" u="none" strike="noStrike" kern="1200" baseline="0">
                  <a:solidFill>
                    <a:schemeClr val="lt1"/>
                  </a:solidFill>
                  <a:latin typeface="+mn-lt"/>
                  <a:ea typeface="+mn-ea"/>
                  <a:cs typeface="+mn-cs"/>
                </a:defRPr>
              </a:pPr>
              <a:endParaRPr lang="en-US"/>
            </a:p>
          </c:txPr>
          <c:showLegendKey val="0"/>
          <c:showVal val="0"/>
          <c:showCatName val="0"/>
          <c:showSerName val="0"/>
          <c:showPercent val="1"/>
          <c:showBubbleSize val="0"/>
          <c:extLst>
            <c:ext xmlns:c15="http://schemas.microsoft.com/office/drawing/2012/chart" uri="{CE6537A1-D6FC-4f65-9D91-7224C49458BB}"/>
          </c:extLst>
        </c:dLbl>
      </c:pivotFmt>
      <c:pivotFmt>
        <c:idx val="1"/>
        <c:spPr>
          <a:solidFill>
            <a:schemeClr val="accent1"/>
          </a:solidFill>
          <a:ln>
            <a:noFill/>
          </a:ln>
          <a:effectLst>
            <a:outerShdw blurRad="254000" sx="102000" sy="102000" algn="ctr" rotWithShape="0">
              <a:prstClr val="black">
                <a:alpha val="20000"/>
              </a:prstClr>
            </a:outerShdw>
          </a:effectLst>
        </c:spPr>
        <c:marker>
          <c:symbol val="none"/>
        </c:marker>
        <c:dLbl>
          <c:idx val="0"/>
          <c:spPr>
            <a:pattFill prst="pct75">
              <a:fgClr>
                <a:sysClr val="windowText" lastClr="000000">
                  <a:lumMod val="75000"/>
                  <a:lumOff val="25000"/>
                </a:sysClr>
              </a:fgClr>
              <a:bgClr>
                <a:sysClr val="windowText" lastClr="000000">
                  <a:lumMod val="65000"/>
                  <a:lumOff val="35000"/>
                </a:sysClr>
              </a:bgClr>
            </a:pattFill>
            <a:ln>
              <a:noFill/>
            </a:ln>
            <a:effectLst>
              <a:outerShdw blurRad="50800" dist="38100" dir="2700000" algn="tl" rotWithShape="0">
                <a:prstClr val="black">
                  <a:alpha val="40000"/>
                </a:prstClr>
              </a:outerShdw>
            </a:effectLst>
          </c:spPr>
          <c:txPr>
            <a:bodyPr rot="0" spcFirstLastPara="1" vertOverflow="ellipsis" vert="horz" wrap="square" lIns="38100" tIns="19050" rIns="38100" bIns="19050" anchor="ctr" anchorCtr="1">
              <a:spAutoFit/>
            </a:bodyPr>
            <a:lstStyle/>
            <a:p>
              <a:pPr>
                <a:defRPr sz="1000" b="1" i="0" u="none" strike="noStrike" kern="1200" baseline="0">
                  <a:solidFill>
                    <a:schemeClr val="lt1"/>
                  </a:solidFill>
                  <a:latin typeface="+mn-lt"/>
                  <a:ea typeface="+mn-ea"/>
                  <a:cs typeface="+mn-cs"/>
                </a:defRPr>
              </a:pPr>
              <a:endParaRPr lang="en-US"/>
            </a:p>
          </c:txPr>
          <c:showLegendKey val="0"/>
          <c:showVal val="0"/>
          <c:showCatName val="0"/>
          <c:showSerName val="0"/>
          <c:showPercent val="1"/>
          <c:showBubbleSize val="0"/>
          <c:extLst>
            <c:ext xmlns:c15="http://schemas.microsoft.com/office/drawing/2012/chart" uri="{CE6537A1-D6FC-4f65-9D91-7224C49458BB}"/>
          </c:extLst>
        </c:dLbl>
      </c:pivotFmt>
      <c:pivotFmt>
        <c:idx val="2"/>
        <c:spPr>
          <a:solidFill>
            <a:schemeClr val="accent1"/>
          </a:solidFill>
          <a:ln>
            <a:noFill/>
          </a:ln>
          <a:effectLst>
            <a:outerShdw blurRad="254000" sx="102000" sy="102000" algn="ctr" rotWithShape="0">
              <a:prstClr val="black">
                <a:alpha val="20000"/>
              </a:prstClr>
            </a:outerShdw>
          </a:effectLst>
        </c:spPr>
      </c:pivotFmt>
      <c:pivotFmt>
        <c:idx val="3"/>
        <c:spPr>
          <a:solidFill>
            <a:schemeClr val="accent1"/>
          </a:solidFill>
          <a:ln>
            <a:noFill/>
          </a:ln>
          <a:effectLst>
            <a:outerShdw blurRad="254000" sx="102000" sy="102000" algn="ctr" rotWithShape="0">
              <a:prstClr val="black">
                <a:alpha val="20000"/>
              </a:prstClr>
            </a:outerShdw>
          </a:effectLst>
        </c:spPr>
      </c:pivotFmt>
      <c:pivotFmt>
        <c:idx val="4"/>
        <c:spPr>
          <a:solidFill>
            <a:schemeClr val="accent1"/>
          </a:solidFill>
          <a:ln>
            <a:noFill/>
          </a:ln>
          <a:effectLst>
            <a:outerShdw blurRad="254000" sx="102000" sy="102000" algn="ctr" rotWithShape="0">
              <a:prstClr val="black">
                <a:alpha val="20000"/>
              </a:prstClr>
            </a:outerShdw>
          </a:effectLst>
        </c:spPr>
        <c:marker>
          <c:symbol val="none"/>
        </c:marker>
        <c:dLbl>
          <c:idx val="0"/>
          <c:spPr>
            <a:pattFill prst="pct75">
              <a:fgClr>
                <a:sysClr val="windowText" lastClr="000000">
                  <a:lumMod val="75000"/>
                  <a:lumOff val="25000"/>
                </a:sysClr>
              </a:fgClr>
              <a:bgClr>
                <a:sysClr val="windowText" lastClr="000000">
                  <a:lumMod val="65000"/>
                  <a:lumOff val="35000"/>
                </a:sysClr>
              </a:bgClr>
            </a:pattFill>
            <a:ln>
              <a:noFill/>
            </a:ln>
            <a:effectLst>
              <a:outerShdw blurRad="50800" dist="38100" dir="2700000" algn="tl" rotWithShape="0">
                <a:prstClr val="black">
                  <a:alpha val="40000"/>
                </a:prstClr>
              </a:outerShdw>
            </a:effectLst>
          </c:spPr>
          <c:txPr>
            <a:bodyPr rot="0" spcFirstLastPara="1" vertOverflow="ellipsis" vert="horz" wrap="square" lIns="38100" tIns="19050" rIns="38100" bIns="19050" anchor="ctr" anchorCtr="1">
              <a:spAutoFit/>
            </a:bodyPr>
            <a:lstStyle/>
            <a:p>
              <a:pPr>
                <a:defRPr sz="1000" b="1" i="0" u="none" strike="noStrike" kern="1200" baseline="0">
                  <a:solidFill>
                    <a:schemeClr val="lt1"/>
                  </a:solidFill>
                  <a:latin typeface="+mn-lt"/>
                  <a:ea typeface="+mn-ea"/>
                  <a:cs typeface="+mn-cs"/>
                </a:defRPr>
              </a:pPr>
              <a:endParaRPr lang="en-US"/>
            </a:p>
          </c:txPr>
          <c:showLegendKey val="0"/>
          <c:showVal val="0"/>
          <c:showCatName val="0"/>
          <c:showSerName val="0"/>
          <c:showPercent val="1"/>
          <c:showBubbleSize val="0"/>
          <c:extLst>
            <c:ext xmlns:c15="http://schemas.microsoft.com/office/drawing/2012/chart" uri="{CE6537A1-D6FC-4f65-9D91-7224C49458BB}"/>
          </c:extLst>
        </c:dLbl>
      </c:pivotFmt>
      <c:pivotFmt>
        <c:idx val="5"/>
        <c:spPr>
          <a:solidFill>
            <a:schemeClr val="accent1"/>
          </a:solidFill>
          <a:ln>
            <a:noFill/>
          </a:ln>
          <a:effectLst>
            <a:outerShdw blurRad="254000" sx="102000" sy="102000" algn="ctr" rotWithShape="0">
              <a:prstClr val="black">
                <a:alpha val="20000"/>
              </a:prstClr>
            </a:outerShdw>
          </a:effectLst>
        </c:spPr>
      </c:pivotFmt>
      <c:pivotFmt>
        <c:idx val="6"/>
        <c:spPr>
          <a:solidFill>
            <a:schemeClr val="accent1"/>
          </a:solidFill>
          <a:ln>
            <a:noFill/>
          </a:ln>
          <a:effectLst>
            <a:outerShdw blurRad="254000" sx="102000" sy="102000" algn="ctr" rotWithShape="0">
              <a:prstClr val="black">
                <a:alpha val="20000"/>
              </a:prstClr>
            </a:outerShdw>
          </a:effectLst>
        </c:spPr>
      </c:pivotFmt>
      <c:pivotFmt>
        <c:idx val="7"/>
        <c:spPr>
          <a:effectLst>
            <a:outerShdw blurRad="50800" dist="38100" dir="5400000" algn="t" rotWithShape="0">
              <a:prstClr val="black">
                <a:alpha val="40000"/>
              </a:prstClr>
            </a:outerShdw>
          </a:effectLst>
        </c:spPr>
        <c:marker>
          <c:symbol val="none"/>
        </c:marker>
        <c:dLbl>
          <c:idx val="0"/>
          <c:spPr>
            <a:pattFill prst="pct75">
              <a:fgClr>
                <a:sysClr val="windowText" lastClr="000000">
                  <a:lumMod val="75000"/>
                  <a:lumOff val="25000"/>
                </a:sysClr>
              </a:fgClr>
              <a:bgClr>
                <a:sysClr val="windowText" lastClr="000000">
                  <a:lumMod val="65000"/>
                  <a:lumOff val="35000"/>
                </a:sysClr>
              </a:bgClr>
            </a:pattFill>
            <a:ln>
              <a:noFill/>
            </a:ln>
            <a:effectLst>
              <a:outerShdw blurRad="50800" dist="38100" dir="2700000" algn="tl" rotWithShape="0">
                <a:prstClr val="black">
                  <a:alpha val="40000"/>
                </a:prstClr>
              </a:outerShdw>
            </a:effectLst>
          </c:spPr>
          <c:txPr>
            <a:bodyPr rot="0" spcFirstLastPara="1" vertOverflow="ellipsis" vert="horz" wrap="square" lIns="38100" tIns="19050" rIns="38100" bIns="19050" anchor="ctr" anchorCtr="1">
              <a:spAutoFit/>
            </a:bodyPr>
            <a:lstStyle/>
            <a:p>
              <a:pPr>
                <a:defRPr sz="1000" b="1" i="0" u="none" strike="noStrike" kern="1200" baseline="0">
                  <a:solidFill>
                    <a:schemeClr val="lt1"/>
                  </a:solidFill>
                  <a:latin typeface="+mn-lt"/>
                  <a:ea typeface="+mn-ea"/>
                  <a:cs typeface="+mn-cs"/>
                </a:defRPr>
              </a:pPr>
              <a:endParaRPr lang="en-US"/>
            </a:p>
          </c:txPr>
          <c:showLegendKey val="0"/>
          <c:showVal val="0"/>
          <c:showCatName val="0"/>
          <c:showSerName val="0"/>
          <c:showPercent val="1"/>
          <c:showBubbleSize val="0"/>
          <c:extLst>
            <c:ext xmlns:c15="http://schemas.microsoft.com/office/drawing/2012/chart" uri="{CE6537A1-D6FC-4f65-9D91-7224C49458BB}"/>
          </c:extLst>
        </c:dLbl>
      </c:pivotFmt>
      <c:pivotFmt>
        <c:idx val="8"/>
        <c:spPr>
          <a:gradFill flip="none" rotWithShape="1">
            <a:gsLst>
              <a:gs pos="0">
                <a:srgbClr val="73FEFF">
                  <a:tint val="66000"/>
                  <a:satMod val="160000"/>
                </a:srgbClr>
              </a:gs>
              <a:gs pos="50000">
                <a:srgbClr val="73FEFF">
                  <a:tint val="44500"/>
                  <a:satMod val="160000"/>
                </a:srgbClr>
              </a:gs>
              <a:gs pos="100000">
                <a:srgbClr val="73FEFF">
                  <a:tint val="23500"/>
                  <a:satMod val="160000"/>
                </a:srgbClr>
              </a:gs>
            </a:gsLst>
            <a:lin ang="5400000" scaled="1"/>
            <a:tileRect/>
          </a:gradFill>
          <a:ln>
            <a:noFill/>
          </a:ln>
          <a:effectLst>
            <a:outerShdw blurRad="50800" dist="38100" dir="5400000" algn="t" rotWithShape="0">
              <a:prstClr val="black">
                <a:alpha val="40000"/>
              </a:prstClr>
            </a:outerShdw>
          </a:effectLst>
        </c:spPr>
      </c:pivotFmt>
      <c:pivotFmt>
        <c:idx val="9"/>
        <c:spPr>
          <a:gradFill flip="none" rotWithShape="1">
            <a:gsLst>
              <a:gs pos="0">
                <a:srgbClr val="007879">
                  <a:shade val="30000"/>
                  <a:satMod val="115000"/>
                </a:srgbClr>
              </a:gs>
              <a:gs pos="50000">
                <a:srgbClr val="007879">
                  <a:shade val="67500"/>
                  <a:satMod val="115000"/>
                </a:srgbClr>
              </a:gs>
              <a:gs pos="100000">
                <a:srgbClr val="007879">
                  <a:shade val="100000"/>
                  <a:satMod val="115000"/>
                </a:srgbClr>
              </a:gs>
            </a:gsLst>
            <a:lin ang="13500000" scaled="1"/>
            <a:tileRect/>
          </a:gradFill>
          <a:ln>
            <a:noFill/>
          </a:ln>
          <a:effectLst>
            <a:outerShdw blurRad="50800" dist="38100" dir="5400000" algn="t" rotWithShape="0">
              <a:prstClr val="black">
                <a:alpha val="40000"/>
              </a:prstClr>
            </a:outerShdw>
          </a:effectLst>
        </c:spPr>
      </c:pivotFmt>
    </c:pivotFmts>
    <c:plotArea>
      <c:layout/>
      <c:doughnutChart>
        <c:varyColors val="1"/>
        <c:ser>
          <c:idx val="0"/>
          <c:order val="0"/>
          <c:tx>
            <c:strRef>
              <c:f>'Pivot Table'!$G$3</c:f>
              <c:strCache>
                <c:ptCount val="1"/>
                <c:pt idx="0">
                  <c:v>Total</c:v>
                </c:pt>
              </c:strCache>
            </c:strRef>
          </c:tx>
          <c:spPr>
            <a:effectLst>
              <a:outerShdw blurRad="50800" dist="38100" dir="5400000" algn="t" rotWithShape="0">
                <a:prstClr val="black">
                  <a:alpha val="40000"/>
                </a:prstClr>
              </a:outerShdw>
            </a:effectLst>
          </c:spPr>
          <c:dPt>
            <c:idx val="0"/>
            <c:bubble3D val="0"/>
            <c:explosion val="6"/>
            <c:spPr>
              <a:gradFill flip="none" rotWithShape="1">
                <a:gsLst>
                  <a:gs pos="0">
                    <a:srgbClr val="73FEFF">
                      <a:tint val="66000"/>
                      <a:satMod val="160000"/>
                    </a:srgbClr>
                  </a:gs>
                  <a:gs pos="50000">
                    <a:srgbClr val="73FEFF">
                      <a:tint val="44500"/>
                      <a:satMod val="160000"/>
                    </a:srgbClr>
                  </a:gs>
                  <a:gs pos="100000">
                    <a:srgbClr val="73FEFF">
                      <a:tint val="23500"/>
                      <a:satMod val="160000"/>
                    </a:srgbClr>
                  </a:gs>
                </a:gsLst>
                <a:lin ang="5400000" scaled="1"/>
                <a:tileRect/>
              </a:gradFill>
              <a:ln>
                <a:noFill/>
              </a:ln>
              <a:effectLst>
                <a:outerShdw blurRad="50800" dist="38100" dir="5400000" algn="t" rotWithShape="0">
                  <a:prstClr val="black">
                    <a:alpha val="40000"/>
                  </a:prstClr>
                </a:outerShdw>
              </a:effectLst>
            </c:spPr>
            <c:extLst>
              <c:ext xmlns:c16="http://schemas.microsoft.com/office/drawing/2014/chart" uri="{C3380CC4-5D6E-409C-BE32-E72D297353CC}">
                <c16:uniqueId val="{0000000D-9794-DE4F-B27F-9F9F1A189964}"/>
              </c:ext>
            </c:extLst>
          </c:dPt>
          <c:dPt>
            <c:idx val="1"/>
            <c:bubble3D val="0"/>
            <c:spPr>
              <a:gradFill flip="none" rotWithShape="1">
                <a:gsLst>
                  <a:gs pos="0">
                    <a:srgbClr val="007879">
                      <a:shade val="30000"/>
                      <a:satMod val="115000"/>
                    </a:srgbClr>
                  </a:gs>
                  <a:gs pos="50000">
                    <a:srgbClr val="007879">
                      <a:shade val="67500"/>
                      <a:satMod val="115000"/>
                    </a:srgbClr>
                  </a:gs>
                  <a:gs pos="100000">
                    <a:srgbClr val="007879">
                      <a:shade val="100000"/>
                      <a:satMod val="115000"/>
                    </a:srgbClr>
                  </a:gs>
                </a:gsLst>
                <a:lin ang="13500000" scaled="1"/>
                <a:tileRect/>
              </a:gradFill>
              <a:ln>
                <a:noFill/>
              </a:ln>
              <a:effectLst>
                <a:outerShdw blurRad="50800" dist="38100" dir="5400000" algn="t" rotWithShape="0">
                  <a:prstClr val="black">
                    <a:alpha val="40000"/>
                  </a:prstClr>
                </a:outerShdw>
              </a:effectLst>
            </c:spPr>
            <c:extLst>
              <c:ext xmlns:c16="http://schemas.microsoft.com/office/drawing/2014/chart" uri="{C3380CC4-5D6E-409C-BE32-E72D297353CC}">
                <c16:uniqueId val="{0000000F-9794-DE4F-B27F-9F9F1A189964}"/>
              </c:ext>
            </c:extLst>
          </c:dPt>
          <c:dLbls>
            <c:spPr>
              <a:pattFill prst="pct75">
                <a:fgClr>
                  <a:sysClr val="windowText" lastClr="000000">
                    <a:lumMod val="75000"/>
                    <a:lumOff val="25000"/>
                  </a:sysClr>
                </a:fgClr>
                <a:bgClr>
                  <a:sysClr val="windowText" lastClr="000000">
                    <a:lumMod val="65000"/>
                    <a:lumOff val="35000"/>
                  </a:sysClr>
                </a:bgClr>
              </a:pattFill>
              <a:ln>
                <a:noFill/>
              </a:ln>
              <a:effectLst>
                <a:outerShdw blurRad="50800" dist="38100" dir="2700000" algn="tl" rotWithShape="0">
                  <a:prstClr val="black">
                    <a:alpha val="40000"/>
                  </a:prstClr>
                </a:outerShdw>
              </a:effectLst>
            </c:spPr>
            <c:txPr>
              <a:bodyPr rot="0" spcFirstLastPara="1" vertOverflow="ellipsis" vert="horz" wrap="square" lIns="38100" tIns="19050" rIns="38100" bIns="19050" anchor="ctr" anchorCtr="1">
                <a:spAutoFit/>
              </a:bodyPr>
              <a:lstStyle/>
              <a:p>
                <a:pPr>
                  <a:defRPr sz="1000" b="1" i="0" u="none" strike="noStrike" kern="1200" baseline="0">
                    <a:solidFill>
                      <a:schemeClr val="lt1"/>
                    </a:solidFill>
                    <a:latin typeface="+mn-lt"/>
                    <a:ea typeface="+mn-ea"/>
                    <a:cs typeface="+mn-cs"/>
                  </a:defRPr>
                </a:pPr>
                <a:endParaRPr lang="en-US"/>
              </a:p>
            </c:txPr>
            <c:showLegendKey val="0"/>
            <c:showVal val="0"/>
            <c:showCatName val="0"/>
            <c:showSerName val="0"/>
            <c:showPercent val="1"/>
            <c:showBubbleSize val="0"/>
            <c:showLeaderLines val="1"/>
            <c:leaderLines>
              <c:spPr>
                <a:ln w="9525">
                  <a:solidFill>
                    <a:schemeClr val="dk1">
                      <a:lumMod val="50000"/>
                      <a:lumOff val="50000"/>
                    </a:schemeClr>
                  </a:solidFill>
                </a:ln>
                <a:effectLst/>
              </c:spPr>
            </c:leaderLines>
            <c:extLst>
              <c:ext xmlns:c15="http://schemas.microsoft.com/office/drawing/2012/chart" uri="{CE6537A1-D6FC-4f65-9D91-7224C49458BB}"/>
            </c:extLst>
          </c:dLbls>
          <c:cat>
            <c:strRef>
              <c:f>'Pivot Table'!$F$4:$F$6</c:f>
              <c:strCache>
                <c:ptCount val="2"/>
                <c:pt idx="0">
                  <c:v>F</c:v>
                </c:pt>
                <c:pt idx="1">
                  <c:v>P</c:v>
                </c:pt>
              </c:strCache>
            </c:strRef>
          </c:cat>
          <c:val>
            <c:numRef>
              <c:f>'Pivot Table'!$G$4:$G$6</c:f>
              <c:numCache>
                <c:formatCode>General</c:formatCode>
                <c:ptCount val="2"/>
                <c:pt idx="0">
                  <c:v>17</c:v>
                </c:pt>
                <c:pt idx="1">
                  <c:v>18</c:v>
                </c:pt>
              </c:numCache>
            </c:numRef>
          </c:val>
          <c:extLst>
            <c:ext xmlns:c16="http://schemas.microsoft.com/office/drawing/2014/chart" uri="{C3380CC4-5D6E-409C-BE32-E72D297353CC}">
              <c16:uniqueId val="{00000010-9794-DE4F-B27F-9F9F1A189964}"/>
            </c:ext>
          </c:extLst>
        </c:ser>
        <c:dLbls>
          <c:showLegendKey val="0"/>
          <c:showVal val="0"/>
          <c:showCatName val="0"/>
          <c:showSerName val="0"/>
          <c:showPercent val="1"/>
          <c:showBubbleSize val="0"/>
          <c:showLeaderLines val="1"/>
        </c:dLbls>
        <c:firstSliceAng val="0"/>
        <c:holeSize val="50"/>
      </c:doughnutChart>
      <c:spPr>
        <a:noFill/>
        <a:ln>
          <a:noFill/>
        </a:ln>
        <a:effectLst/>
      </c:spPr>
    </c:plotArea>
    <c:legend>
      <c:legendPos val="r"/>
      <c:layout>
        <c:manualLayout>
          <c:xMode val="edge"/>
          <c:yMode val="edge"/>
          <c:x val="9.4750270702143466E-2"/>
          <c:y val="0.42796619473046638"/>
          <c:w val="8.0149595786508002E-2"/>
          <c:h val="0.16153413311543607"/>
        </c:manualLayout>
      </c:layout>
      <c:overlay val="0"/>
      <c:spPr>
        <a:gradFill flip="none" rotWithShape="1">
          <a:gsLst>
            <a:gs pos="0">
              <a:schemeClr val="accent5">
                <a:lumMod val="5000"/>
                <a:lumOff val="95000"/>
              </a:schemeClr>
            </a:gs>
            <a:gs pos="74000">
              <a:schemeClr val="accent5">
                <a:lumMod val="45000"/>
                <a:lumOff val="55000"/>
              </a:schemeClr>
            </a:gs>
            <a:gs pos="83000">
              <a:schemeClr val="accent5">
                <a:lumMod val="45000"/>
                <a:lumOff val="55000"/>
              </a:schemeClr>
            </a:gs>
            <a:gs pos="100000">
              <a:schemeClr val="accent5">
                <a:lumMod val="30000"/>
                <a:lumOff val="70000"/>
              </a:schemeClr>
            </a:gs>
          </a:gsLst>
          <a:lin ang="5400000" scaled="1"/>
          <a:tileRect/>
        </a:gradFill>
        <a:ln>
          <a:noFill/>
        </a:ln>
        <a:effectLst>
          <a:outerShdw blurRad="288663" dist="38100" dir="3600000" algn="tl" rotWithShape="0">
            <a:prstClr val="black">
              <a:alpha val="40000"/>
            </a:prstClr>
          </a:outerShdw>
        </a:effectLst>
      </c:spPr>
      <c:txPr>
        <a:bodyPr rot="0" spcFirstLastPara="1" vertOverflow="ellipsis" vert="horz" wrap="square" anchor="ctr" anchorCtr="1"/>
        <a:lstStyle/>
        <a:p>
          <a:pPr>
            <a:defRPr sz="1120" b="0" i="0" u="none" strike="noStrike" kern="1200" baseline="0">
              <a:solidFill>
                <a:schemeClr val="dk1">
                  <a:lumMod val="75000"/>
                  <a:lumOff val="25000"/>
                </a:schemeClr>
              </a:solidFill>
              <a:latin typeface="+mn-lt"/>
              <a:ea typeface="+mn-ea"/>
              <a:cs typeface="+mn-cs"/>
            </a:defRPr>
          </a:pPr>
          <a:endParaRPr lang="en-US"/>
        </a:p>
      </c:txPr>
    </c:legend>
    <c:plotVisOnly val="1"/>
    <c:dispBlanksAs val="gap"/>
    <c:showDLblsOverMax val="0"/>
    <c:extLst/>
  </c:chart>
  <c:spPr>
    <a:noFill/>
    <a:ln w="9525" cap="flat" cmpd="sng" algn="ctr">
      <a:no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8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28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xml><?xml version="1.0" encoding="utf-8"?>
<cs:chartStyle xmlns:cs="http://schemas.microsoft.com/office/drawing/2012/chartStyle" xmlns:a="http://schemas.openxmlformats.org/drawingml/2006/main" id="253">
  <cs:axisTitle>
    <cs:lnRef idx="0"/>
    <cs:fillRef idx="0"/>
    <cs:effectRef idx="0"/>
    <cs:fontRef idx="minor">
      <a:schemeClr val="dk1">
        <a:lumMod val="75000"/>
        <a:lumOff val="25000"/>
      </a:schemeClr>
    </cs:fontRef>
    <cs:defRPr sz="900" b="1" kern="1200"/>
  </cs:axisTitle>
  <cs:categoryAxis>
    <cs:lnRef idx="0"/>
    <cs:fillRef idx="0"/>
    <cs:effectRef idx="0"/>
    <cs:fontRef idx="minor">
      <a:schemeClr val="dk1">
        <a:lumMod val="75000"/>
        <a:lumOff val="25000"/>
      </a:schemeClr>
    </cs:fontRef>
    <cs:spPr>
      <a:ln w="19050" cap="flat" cmpd="sng" algn="ctr">
        <a:solidFill>
          <a:schemeClr val="dk1">
            <a:lumMod val="75000"/>
            <a:lumOff val="25000"/>
          </a:schemeClr>
        </a:solidFill>
        <a:round/>
      </a:ln>
    </cs:spPr>
    <cs:defRPr sz="900" kern="1200" cap="all" baseline="0"/>
  </cs:categoryAxis>
  <cs:chartArea>
    <cs:lnRef idx="0"/>
    <cs:fillRef idx="0"/>
    <cs:effectRef idx="0"/>
    <cs:fontRef idx="minor">
      <a:schemeClr val="dk1"/>
    </cs:fontRef>
    <cs:spPr>
      <a:gradFill flip="none" rotWithShape="1">
        <a:gsLst>
          <a:gs pos="0">
            <a:schemeClr val="lt1"/>
          </a:gs>
          <a:gs pos="39000">
            <a:schemeClr val="lt1"/>
          </a:gs>
          <a:gs pos="100000">
            <a:schemeClr val="lt1">
              <a:lumMod val="75000"/>
            </a:schemeClr>
          </a:gs>
        </a:gsLst>
        <a:path path="circle">
          <a:fillToRect l="50000" t="-80000" r="50000" b="180000"/>
        </a:path>
        <a:tileRect/>
      </a:gradFill>
      <a:ln w="9525" cap="flat" cmpd="sng" algn="ctr">
        <a:solidFill>
          <a:schemeClr val="dk1">
            <a:lumMod val="25000"/>
            <a:lumOff val="75000"/>
          </a:schemeClr>
        </a:solidFill>
        <a:round/>
      </a:ln>
    </cs:spPr>
    <cs:defRPr sz="900" kern="1200"/>
  </cs:chartArea>
  <cs:dataLabel>
    <cs:lnRef idx="0"/>
    <cs:fillRef idx="0"/>
    <cs:effectRef idx="0"/>
    <cs:fontRef idx="minor">
      <a:schemeClr val="lt1"/>
    </cs:fontRef>
    <cs:spPr>
      <a:pattFill prst="pct75">
        <a:fgClr>
          <a:schemeClr val="dk1">
            <a:lumMod val="75000"/>
            <a:lumOff val="25000"/>
          </a:schemeClr>
        </a:fgClr>
        <a:bgClr>
          <a:schemeClr val="dk1">
            <a:lumMod val="65000"/>
            <a:lumOff val="35000"/>
          </a:schemeClr>
        </a:bgClr>
      </a:pattFill>
      <a:effectLst>
        <a:outerShdw blurRad="50800" dist="38100" dir="2700000" algn="tl" rotWithShape="0">
          <a:prstClr val="black">
            <a:alpha val="40000"/>
          </a:prstClr>
        </a:outerShdw>
      </a:effectLst>
    </cs:spPr>
    <cs:defRPr sz="1000" b="1" i="0" u="none" strike="noStrike" kern="1200" baseline="0"/>
  </cs:dataLabel>
  <cs:dataLabelCallout>
    <cs:lnRef idx="0"/>
    <cs:fillRef idx="0"/>
    <cs:effectRef idx="0"/>
    <cs:fontRef idx="minor">
      <a:schemeClr val="lt1"/>
    </cs:fontRef>
    <cs:spPr>
      <a:pattFill prst="pct75">
        <a:fgClr>
          <a:schemeClr val="dk1">
            <a:lumMod val="75000"/>
            <a:lumOff val="25000"/>
          </a:schemeClr>
        </a:fgClr>
        <a:bgClr>
          <a:schemeClr val="dk1">
            <a:lumMod val="65000"/>
            <a:lumOff val="35000"/>
          </a:schemeClr>
        </a:bgClr>
      </a:pattFill>
      <a:effectLst>
        <a:outerShdw blurRad="50800" dist="38100" dir="2700000" algn="tl" rotWithShape="0">
          <a:prstClr val="black">
            <a:alpha val="40000"/>
          </a:prstClr>
        </a:outerShdw>
      </a:effectLst>
    </cs:spPr>
    <cs:defRPr sz="1000" b="1" i="0" u="none" strike="noStrike" kern="1200" baseline="0"/>
    <cs:bodyPr rot="0" spcFirstLastPara="1" vertOverflow="clip" horzOverflow="clip" vert="horz" wrap="square" lIns="36576" tIns="18288" rIns="36576" bIns="18288" anchor="ctr" anchorCtr="1">
      <a:spAutoFit/>
    </cs:bodyPr>
  </cs:dataLabelCallout>
  <cs:dataPoint>
    <cs:lnRef idx="0"/>
    <cs:fillRef idx="0">
      <cs:styleClr val="auto"/>
    </cs:fillRef>
    <cs:effectRef idx="0"/>
    <cs:fontRef idx="minor">
      <a:schemeClr val="dk1"/>
    </cs:fontRef>
    <cs:spPr>
      <a:solidFill>
        <a:schemeClr val="phClr"/>
      </a:solidFill>
      <a:effectLst>
        <a:outerShdw blurRad="254000" sx="102000" sy="102000" algn="ctr" rotWithShape="0">
          <a:prstClr val="black">
            <a:alpha val="20000"/>
          </a:prstClr>
        </a:outerShdw>
      </a:effectLst>
    </cs:spPr>
  </cs:dataPoint>
  <cs:dataPoint3D>
    <cs:lnRef idx="0"/>
    <cs:fillRef idx="0">
      <cs:styleClr val="auto"/>
    </cs:fillRef>
    <cs:effectRef idx="0"/>
    <cs:fontRef idx="minor">
      <a:schemeClr val="dk1"/>
    </cs:fontRef>
    <cs:spPr>
      <a:solidFill>
        <a:schemeClr val="phClr"/>
      </a:solidFill>
      <a:effectLst>
        <a:outerShdw blurRad="254000" sx="102000" sy="102000" algn="ctr" rotWithShape="0">
          <a:prstClr val="black">
            <a:alpha val="20000"/>
          </a:prstClr>
        </a:outerShdw>
      </a:effectLst>
    </cs:spPr>
  </cs:dataPoint3D>
  <cs:dataPointLine>
    <cs:lnRef idx="0">
      <cs:styleClr val="auto"/>
    </cs:lnRef>
    <cs:fillRef idx="0"/>
    <cs:effectRef idx="0"/>
    <cs:fontRef idx="minor">
      <a:schemeClr val="dk1"/>
    </cs:fontRef>
    <cs:spPr>
      <a:ln w="31750" cap="rnd">
        <a:solidFill>
          <a:schemeClr val="phClr">
            <a:alpha val="85000"/>
          </a:schemeClr>
        </a:solidFill>
        <a:round/>
      </a:ln>
    </cs:spPr>
  </cs:dataPointLine>
  <cs:dataPointMarker>
    <cs:lnRef idx="0"/>
    <cs:fillRef idx="0">
      <cs:styleClr val="auto"/>
    </cs:fillRef>
    <cs:effectRef idx="0"/>
    <cs:fontRef idx="minor">
      <a:schemeClr val="dk1"/>
    </cs:fontRef>
    <cs:spPr>
      <a:solidFill>
        <a:schemeClr val="phClr">
          <a:alpha val="85000"/>
        </a:schemeClr>
      </a:solidFill>
    </cs:spPr>
  </cs:dataPointMarker>
  <cs:dataPointMarkerLayout symbol="circle" size="6"/>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dk1">
        <a:lumMod val="75000"/>
        <a:lumOff val="25000"/>
      </a:schemeClr>
    </cs:fontRef>
    <cs:spPr>
      <a:ln w="9525">
        <a:solidFill>
          <a:schemeClr val="dk1">
            <a:lumMod val="35000"/>
            <a:lumOff val="65000"/>
          </a:schemeClr>
        </a:solidFill>
      </a:ln>
    </cs:spPr>
    <cs:defRPr sz="900" kern="1200"/>
  </cs:dataTable>
  <cs:downBar>
    <cs:lnRef idx="0"/>
    <cs:fillRef idx="0"/>
    <cs:effectRef idx="0"/>
    <cs:fontRef idx="minor">
      <a:schemeClr val="dk1"/>
    </cs:fontRef>
    <cs:spPr>
      <a:solidFill>
        <a:schemeClr val="dk1">
          <a:lumMod val="50000"/>
          <a:lumOff val="50000"/>
        </a:schemeClr>
      </a:solidFill>
      <a:ln w="9525">
        <a:solidFill>
          <a:schemeClr val="dk1">
            <a:lumMod val="65000"/>
            <a:lumOff val="35000"/>
          </a:schemeClr>
        </a:solidFill>
      </a:ln>
    </cs:spPr>
  </cs:downBar>
  <cs:dropLine>
    <cs:lnRef idx="0"/>
    <cs:fillRef idx="0"/>
    <cs:effectRef idx="0"/>
    <cs:fontRef idx="minor">
      <a:schemeClr val="dk1"/>
    </cs:fontRef>
    <cs:spPr>
      <a:ln w="9525">
        <a:solidFill>
          <a:schemeClr val="dk1">
            <a:lumMod val="35000"/>
            <a:lumOff val="65000"/>
          </a:schemeClr>
        </a:solidFill>
        <a:prstDash val="dash"/>
      </a:ln>
    </cs:spPr>
  </cs:dropLine>
  <cs:errorBar>
    <cs:lnRef idx="0"/>
    <cs:fillRef idx="0"/>
    <cs:effectRef idx="0"/>
    <cs:fontRef idx="minor">
      <a:schemeClr val="dk1"/>
    </cs:fontRef>
    <cs:spPr>
      <a:ln w="9525">
        <a:solidFill>
          <a:schemeClr val="dk1">
            <a:lumMod val="65000"/>
            <a:lumOff val="35000"/>
          </a:schemeClr>
        </a:solidFill>
        <a:round/>
      </a:ln>
    </cs:spPr>
  </cs:errorBar>
  <cs:floor>
    <cs:lnRef idx="0"/>
    <cs:fillRef idx="0"/>
    <cs:effectRef idx="0"/>
    <cs:fontRef idx="minor">
      <a:schemeClr val="dk1"/>
    </cs:fontRef>
  </cs:floor>
  <cs:gridlineMajor>
    <cs:lnRef idx="0"/>
    <cs:fillRef idx="0"/>
    <cs:effectRef idx="0"/>
    <cs:fontRef idx="minor">
      <a:schemeClr val="dk1"/>
    </cs:fontRef>
    <cs:spPr>
      <a:ln w="9525" cap="flat" cmpd="sng" algn="ctr">
        <a:gradFill>
          <a:gsLst>
            <a:gs pos="100000">
              <a:schemeClr val="dk1">
                <a:lumMod val="95000"/>
                <a:lumOff val="5000"/>
                <a:alpha val="42000"/>
              </a:schemeClr>
            </a:gs>
            <a:gs pos="0">
              <a:schemeClr val="lt1">
                <a:lumMod val="75000"/>
                <a:alpha val="36000"/>
              </a:schemeClr>
            </a:gs>
          </a:gsLst>
          <a:lin ang="5400000" scaled="0"/>
        </a:gradFill>
        <a:round/>
      </a:ln>
    </cs:spPr>
  </cs:gridlineMajor>
  <cs:gridlineMinor>
    <cs:lnRef idx="0"/>
    <cs:fillRef idx="0"/>
    <cs:effectRef idx="0"/>
    <cs:fontRef idx="minor">
      <a:schemeClr val="dk1"/>
    </cs:fontRef>
    <cs:spPr>
      <a:ln>
        <a:gradFill>
          <a:gsLst>
            <a:gs pos="100000">
              <a:schemeClr val="dk1">
                <a:lumMod val="95000"/>
                <a:lumOff val="5000"/>
                <a:alpha val="42000"/>
              </a:schemeClr>
            </a:gs>
            <a:gs pos="0">
              <a:schemeClr val="lt1">
                <a:lumMod val="75000"/>
                <a:alpha val="36000"/>
              </a:schemeClr>
            </a:gs>
          </a:gsLst>
          <a:lin ang="5400000" scaled="0"/>
        </a:gradFill>
      </a:ln>
    </cs:spPr>
  </cs:gridlineMinor>
  <cs:hiLoLine>
    <cs:lnRef idx="0"/>
    <cs:fillRef idx="0"/>
    <cs:effectRef idx="0"/>
    <cs:fontRef idx="minor">
      <a:schemeClr val="dk1"/>
    </cs:fontRef>
    <cs:spPr>
      <a:ln w="9525">
        <a:solidFill>
          <a:schemeClr val="dk1">
            <a:lumMod val="35000"/>
            <a:lumOff val="65000"/>
          </a:schemeClr>
        </a:solidFill>
        <a:prstDash val="dash"/>
      </a:ln>
    </cs:spPr>
  </cs:hiLoLine>
  <cs:leaderLine>
    <cs:lnRef idx="0"/>
    <cs:fillRef idx="0"/>
    <cs:effectRef idx="0"/>
    <cs:fontRef idx="minor">
      <a:schemeClr val="dk1"/>
    </cs:fontRef>
    <cs:spPr>
      <a:ln w="9525">
        <a:solidFill>
          <a:schemeClr val="dk1">
            <a:lumMod val="50000"/>
            <a:lumOff val="50000"/>
          </a:schemeClr>
        </a:solidFill>
      </a:ln>
    </cs:spPr>
  </cs:leaderLine>
  <cs:legend>
    <cs:lnRef idx="0"/>
    <cs:fillRef idx="0"/>
    <cs:effectRef idx="0"/>
    <cs:fontRef idx="minor">
      <a:schemeClr val="dk1">
        <a:lumMod val="75000"/>
        <a:lumOff val="25000"/>
      </a:schemeClr>
    </cs:fontRef>
    <cs:spPr>
      <a:solidFill>
        <a:schemeClr val="lt1">
          <a:lumMod val="95000"/>
          <a:alpha val="39000"/>
        </a:schemeClr>
      </a:solidFill>
    </cs:spPr>
    <cs:defRPr sz="900" kern="1200"/>
  </cs:legend>
  <cs:plotArea>
    <cs:lnRef idx="0"/>
    <cs:fillRef idx="0"/>
    <cs:effectRef idx="0"/>
    <cs:fontRef idx="minor">
      <a:schemeClr val="dk1"/>
    </cs:fontRef>
  </cs:plotArea>
  <cs:plotArea3D>
    <cs:lnRef idx="0"/>
    <cs:fillRef idx="0"/>
    <cs:effectRef idx="0"/>
    <cs:fontRef idx="minor">
      <a:schemeClr val="dk1"/>
    </cs:fontRef>
  </cs:plotArea3D>
  <cs:seriesAxis>
    <cs:lnRef idx="0"/>
    <cs:fillRef idx="0"/>
    <cs:effectRef idx="0"/>
    <cs:fontRef idx="minor">
      <a:schemeClr val="dk1">
        <a:lumMod val="75000"/>
        <a:lumOff val="25000"/>
      </a:schemeClr>
    </cs:fontRef>
    <cs:spPr>
      <a:ln w="31750" cap="flat" cmpd="sng" algn="ctr">
        <a:solidFill>
          <a:schemeClr val="dk1">
            <a:lumMod val="75000"/>
            <a:lumOff val="25000"/>
          </a:schemeClr>
        </a:solidFill>
        <a:round/>
      </a:ln>
    </cs:spPr>
    <cs:defRPr sz="900" kern="1200"/>
  </cs:seriesAxis>
  <cs:seriesLine>
    <cs:lnRef idx="0"/>
    <cs:fillRef idx="0"/>
    <cs:effectRef idx="0"/>
    <cs:fontRef idx="minor">
      <a:schemeClr val="dk1"/>
    </cs:fontRef>
    <cs:spPr>
      <a:ln w="9525">
        <a:solidFill>
          <a:schemeClr val="dk1">
            <a:lumMod val="50000"/>
            <a:lumOff val="50000"/>
          </a:schemeClr>
        </a:solidFill>
        <a:round/>
      </a:ln>
    </cs:spPr>
  </cs:seriesLine>
  <cs:title>
    <cs:lnRef idx="0"/>
    <cs:fillRef idx="0"/>
    <cs:effectRef idx="0"/>
    <cs:fontRef idx="minor">
      <a:schemeClr val="dk1">
        <a:lumMod val="75000"/>
        <a:lumOff val="25000"/>
      </a:schemeClr>
    </cs:fontRef>
    <cs:defRPr sz="1800" b="1" kern="1200" baseline="0"/>
  </cs:title>
  <cs:trendline>
    <cs:lnRef idx="0">
      <cs:styleClr val="auto"/>
    </cs:lnRef>
    <cs:fillRef idx="0"/>
    <cs:effectRef idx="0"/>
    <cs:fontRef idx="minor">
      <a:schemeClr val="dk1"/>
    </cs:fontRef>
    <cs:spPr>
      <a:ln w="19050" cap="rnd">
        <a:solidFill>
          <a:schemeClr val="phClr"/>
        </a:solidFill>
      </a:ln>
    </cs:spPr>
  </cs:trendline>
  <cs:trendlineLabel>
    <cs:lnRef idx="0"/>
    <cs:fillRef idx="0"/>
    <cs:effectRef idx="0"/>
    <cs:fontRef idx="minor">
      <a:schemeClr val="dk1">
        <a:lumMod val="75000"/>
        <a:lumOff val="25000"/>
      </a:schemeClr>
    </cs:fontRef>
    <cs:defRPr sz="900" kern="1200"/>
  </cs:trendlineLabel>
  <cs:upBar>
    <cs:lnRef idx="0"/>
    <cs:fillRef idx="0"/>
    <cs:effectRef idx="0"/>
    <cs:fontRef idx="minor">
      <a:schemeClr val="dk1"/>
    </cs:fontRef>
    <cs:spPr>
      <a:solidFill>
        <a:schemeClr val="lt1"/>
      </a:solidFill>
      <a:ln w="9525">
        <a:solidFill>
          <a:schemeClr val="dk1">
            <a:lumMod val="65000"/>
            <a:lumOff val="35000"/>
          </a:schemeClr>
        </a:solidFill>
      </a:ln>
    </cs:spPr>
  </cs:upBar>
  <cs:valueAxis>
    <cs:lnRef idx="0"/>
    <cs:fillRef idx="0"/>
    <cs:effectRef idx="0"/>
    <cs:fontRef idx="minor">
      <a:schemeClr val="dk1">
        <a:lumMod val="75000"/>
        <a:lumOff val="25000"/>
      </a:schemeClr>
    </cs:fontRef>
    <cs:spPr>
      <a:ln>
        <a:noFill/>
      </a:ln>
    </cs:spPr>
    <cs:defRPr sz="900" kern="1200"/>
  </cs:valueAxis>
  <cs:wall>
    <cs:lnRef idx="0"/>
    <cs:fillRef idx="0"/>
    <cs:effectRef idx="0"/>
    <cs:fontRef idx="minor">
      <a:schemeClr val="dk1"/>
    </cs:fontRef>
  </cs:wall>
</cs:chartStyle>
</file>

<file path=xl/charts/style4.xml><?xml version="1.0" encoding="utf-8"?>
<cs:chartStyle xmlns:cs="http://schemas.microsoft.com/office/drawing/2012/chartStyle" xmlns:a="http://schemas.openxmlformats.org/drawingml/2006/main" id="292">
  <cs:axisTitle>
    <cs:lnRef idx="0"/>
    <cs:fillRef idx="0"/>
    <cs:effectRef idx="0"/>
    <cs:fontRef idx="minor">
      <a:schemeClr val="tx1">
        <a:lumMod val="50000"/>
        <a:lumOff val="50000"/>
      </a:schemeClr>
    </cs:fontRef>
    <cs:defRPr sz="900" kern="1200"/>
  </cs:axisTitle>
  <cs:categoryAxis>
    <cs:lnRef idx="0"/>
    <cs:fillRef idx="0"/>
    <cs:effectRef idx="0"/>
    <cs:fontRef idx="minor">
      <a:schemeClr val="tx1">
        <a:lumMod val="50000"/>
        <a:lumOff val="50000"/>
      </a:schemeClr>
    </cs:fontRef>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50000"/>
        <a:lumOff val="50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styleClr val="auto"/>
    </cs:lnRef>
    <cs:fillRef idx="0">
      <cs:styleClr val="auto"/>
    </cs:fillRef>
    <cs:effectRef idx="0"/>
    <cs:fontRef idx="minor">
      <a:schemeClr val="tx1"/>
    </cs:fontRef>
    <cs:spPr>
      <a:solidFill>
        <a:schemeClr val="phClr"/>
      </a:solidFill>
      <a:ln>
        <a:solidFill>
          <a:schemeClr val="phClr">
            <a:lumMod val="75000"/>
          </a:schemeClr>
        </a:solidFill>
      </a:ln>
    </cs:spPr>
  </cs:dataPoint>
  <cs:dataPoint3D>
    <cs:lnRef idx="0">
      <cs:styleClr val="auto"/>
    </cs:lnRef>
    <cs:fillRef idx="0">
      <cs:styleClr val="auto"/>
    </cs:fillRef>
    <cs:effectRef idx="0"/>
    <cs:fontRef idx="minor">
      <a:schemeClr val="tx1"/>
    </cs:fontRef>
    <cs:spPr>
      <a:solidFill>
        <a:schemeClr val="phClr"/>
      </a:solidFill>
      <a:ln>
        <a:solidFill>
          <a:schemeClr val="phClr">
            <a:lumMod val="75000"/>
          </a:schemeClr>
        </a:solidFill>
      </a:ln>
      <a:scene3d>
        <a:camera prst="orthographicFront"/>
        <a:lightRig rig="threePt" dir="t"/>
      </a:scene3d>
      <a:sp3d prstMaterial="translucentPowder"/>
    </cs:spPr>
  </cs:dataPoint3D>
  <cs:dataPointLine>
    <cs:lnRef idx="0">
      <cs:styleClr val="auto"/>
    </cs:lnRef>
    <cs:fillRef idx="0"/>
    <cs:effectRef idx="0"/>
    <cs:fontRef idx="minor">
      <a:schemeClr val="tx1"/>
    </cs:fontRef>
    <cs:spPr>
      <a:ln w="28575" cap="rnd">
        <a:solidFill>
          <a:schemeClr val="phClr">
            <a:alpha val="70000"/>
          </a:schemeClr>
        </a:solidFill>
        <a:round/>
      </a:ln>
    </cs:spPr>
  </cs:dataPointLine>
  <cs:dataPointMarker>
    <cs:lnRef idx="0">
      <cs:styleClr val="auto"/>
    </cs:lnRef>
    <cs:fillRef idx="0">
      <cs:styleClr val="auto"/>
    </cs:fillRef>
    <cs:effectRef idx="0"/>
    <cs:fontRef idx="minor">
      <a:schemeClr val="dk1"/>
    </cs:fontRef>
    <cs:spPr>
      <a:solidFill>
        <a:schemeClr val="phClr">
          <a:alpha val="70000"/>
        </a:schemeClr>
      </a:solidFill>
      <a:ln>
        <a:solidFill>
          <a:schemeClr val="phClr">
            <a:lumMod val="75000"/>
          </a:schemeClr>
        </a:solidFill>
      </a:ln>
    </cs:spPr>
  </cs:dataPointMarker>
  <cs:dataPointMarkerLayout symbol="circle" size="6"/>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50000"/>
        <a:lumOff val="50000"/>
      </a:schemeClr>
    </cs:fontRef>
    <cs:spPr>
      <a:ln w="9525">
        <a:solidFill>
          <a:schemeClr val="tx1">
            <a:lumMod val="15000"/>
            <a:lumOff val="85000"/>
          </a:schemeClr>
        </a:solidFill>
      </a:ln>
    </cs:spPr>
    <cs:defRPr sz="900" kern="1200"/>
  </cs:dataTable>
  <cs:downBar>
    <cs:lnRef idx="0"/>
    <cs:fillRef idx="0"/>
    <cs:effectRef idx="0"/>
    <cs:fontRef idx="minor">
      <a:schemeClr val="dk1"/>
    </cs:fontRef>
    <cs:spPr>
      <a:solidFill>
        <a:schemeClr val="dk1">
          <a:lumMod val="75000"/>
          <a:lumOff val="25000"/>
        </a:schemeClr>
      </a:solidFill>
      <a:ln w="9525">
        <a:solidFill>
          <a:schemeClr val="tx1">
            <a:lumMod val="65000"/>
            <a:lumOff val="35000"/>
          </a:schemeClr>
        </a:solidFill>
      </a:ln>
    </cs:spPr>
  </cs:downBar>
  <cs:dropLine>
    <cs:lnRef idx="0"/>
    <cs:fillRef idx="0"/>
    <cs:effectRef idx="0"/>
    <cs:fontRef idx="minor">
      <a:schemeClr val="dk1"/>
    </cs:fontRef>
    <cs:spPr>
      <a:ln w="9525">
        <a:solidFill>
          <a:schemeClr val="tx1">
            <a:lumMod val="35000"/>
            <a:lumOff val="65000"/>
          </a:schemeClr>
        </a:solidFill>
        <a:round/>
      </a:ln>
    </cs:spPr>
  </cs:dropLine>
  <cs:errorBar>
    <cs:lnRef idx="0"/>
    <cs:fillRef idx="0"/>
    <cs:effectRef idx="0"/>
    <cs:fontRef idx="minor">
      <a:schemeClr val="dk1"/>
    </cs:fontRef>
    <cs:spPr>
      <a:ln w="9525">
        <a:solidFill>
          <a:schemeClr val="tx1">
            <a:lumMod val="50000"/>
            <a:lumOff val="50000"/>
          </a:schemeClr>
        </a:solidFill>
        <a:round/>
      </a:ln>
    </cs:spPr>
  </cs:errorBar>
  <cs:floor>
    <cs:lnRef idx="0"/>
    <cs:fillRef idx="0"/>
    <cs:effectRef idx="0"/>
    <cs:fontRef idx="minor">
      <a:schemeClr val="tx1"/>
    </cs:fontRef>
    <cs:spPr>
      <a:solidFill>
        <a:schemeClr val="lt1">
          <a:alpha val="27000"/>
        </a:schemeClr>
      </a:solidFill>
      <a:sp3d/>
    </cs:spPr>
  </cs:floor>
  <cs:gridlineMajor>
    <cs:lnRef idx="0"/>
    <cs:fillRef idx="0"/>
    <cs:effectRef idx="0"/>
    <cs:fontRef idx="minor">
      <a:schemeClr val="tx1"/>
    </cs:fontRef>
    <cs:spPr>
      <a:ln w="9525" cap="flat" cmpd="sng" algn="ctr">
        <a:solidFill>
          <a:schemeClr val="tx1">
            <a:lumMod val="5000"/>
            <a:lumOff val="95000"/>
          </a:schemeClr>
        </a:solidFill>
        <a:round/>
      </a:ln>
    </cs:spPr>
  </cs:gridlineMajor>
  <cs:gridlineMinor>
    <cs:lnRef idx="0"/>
    <cs:fillRef idx="0"/>
    <cs:effectRef idx="0"/>
    <cs:fontRef idx="minor">
      <a:schemeClr val="tx1"/>
    </cs:fontRef>
    <cs:spPr>
      <a:ln>
        <a:solidFill>
          <a:schemeClr val="tx1">
            <a:lumMod val="5000"/>
            <a:lumOff val="95000"/>
          </a:schemeClr>
        </a:solidFill>
      </a:ln>
    </cs:spPr>
  </cs:gridlineMinor>
  <cs:hiLoLine>
    <cs:lnRef idx="0"/>
    <cs:fillRef idx="0"/>
    <cs:effectRef idx="0"/>
    <cs:fontRef idx="minor">
      <a:schemeClr val="dk1"/>
    </cs:fontRef>
    <cs:spPr>
      <a:ln w="9525">
        <a:solidFill>
          <a:schemeClr val="tx1">
            <a:lumMod val="35000"/>
            <a:lumOff val="65000"/>
          </a:schemeClr>
        </a:solidFill>
        <a:round/>
      </a:ln>
    </cs:spPr>
  </cs:hiLoLine>
  <cs:leaderLine>
    <cs:lnRef idx="0"/>
    <cs:fillRef idx="0"/>
    <cs:effectRef idx="0"/>
    <cs:fontRef idx="minor">
      <a:schemeClr val="dk1"/>
    </cs:fontRef>
    <cs:spPr>
      <a:ln w="9525">
        <a:solidFill>
          <a:schemeClr val="tx1">
            <a:lumMod val="35000"/>
            <a:lumOff val="65000"/>
          </a:schemeClr>
        </a:solidFill>
      </a:ln>
    </cs:spPr>
  </cs:leaderLine>
  <cs:legend>
    <cs:lnRef idx="0"/>
    <cs:fillRef idx="0"/>
    <cs:effectRef idx="0"/>
    <cs:fontRef idx="minor">
      <a:schemeClr val="tx1">
        <a:lumMod val="50000"/>
        <a:lumOff val="50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50000"/>
        <a:lumOff val="50000"/>
      </a:schemeClr>
    </cs:fontRef>
    <cs:defRPr sz="900" kern="1200"/>
  </cs:seriesAxis>
  <cs:seriesLine>
    <cs:lnRef idx="0"/>
    <cs:fillRef idx="0"/>
    <cs:effectRef idx="0"/>
    <cs:fontRef idx="minor">
      <a:schemeClr val="dk1"/>
    </cs:fontRef>
    <cs:spPr>
      <a:ln w="9525">
        <a:solidFill>
          <a:schemeClr val="tx1">
            <a:lumMod val="35000"/>
            <a:lumOff val="65000"/>
          </a:schemeClr>
        </a:solidFill>
        <a:round/>
      </a:ln>
    </cs:spPr>
  </cs:seriesLine>
  <cs:title>
    <cs:lnRef idx="0"/>
    <cs:fillRef idx="0"/>
    <cs:effectRef idx="0"/>
    <cs:fontRef idx="minor">
      <a:schemeClr val="tx1">
        <a:lumMod val="65000"/>
        <a:lumOff val="35000"/>
      </a:schemeClr>
    </cs:fontRef>
    <cs:defRPr sz="1600" b="0" kern="1200" cap="none" spc="50" baseline="0"/>
  </cs:title>
  <cs:trendline>
    <cs:lnRef idx="0">
      <cs:styleClr val="auto"/>
    </cs:lnRef>
    <cs:fillRef idx="0"/>
    <cs:effectRef idx="0"/>
    <cs:fontRef idx="minor">
      <a:schemeClr val="dk1"/>
    </cs:fontRef>
    <cs:spPr>
      <a:ln w="15875" cap="rnd">
        <a:solidFill>
          <a:schemeClr val="phClr"/>
        </a:solidFill>
      </a:ln>
    </cs:spPr>
  </cs:trendline>
  <cs:trendlineLabel>
    <cs:lnRef idx="0"/>
    <cs:fillRef idx="0"/>
    <cs:effectRef idx="0"/>
    <cs:fontRef idx="minor">
      <a:schemeClr val="tx1">
        <a:lumMod val="50000"/>
        <a:lumOff val="50000"/>
      </a:schemeClr>
    </cs:fontRef>
    <cs:defRPr sz="900" kern="1200"/>
  </cs:trendlineLabel>
  <cs:upBar>
    <cs:lnRef idx="0"/>
    <cs:fillRef idx="0"/>
    <cs:effectRef idx="0"/>
    <cs:fontRef idx="minor">
      <a:schemeClr val="dk1"/>
    </cs:fontRef>
    <cs:spPr>
      <a:solidFill>
        <a:schemeClr val="lt1"/>
      </a:solidFill>
      <a:ln w="9525">
        <a:solidFill>
          <a:schemeClr val="tx1">
            <a:lumMod val="65000"/>
            <a:lumOff val="35000"/>
          </a:schemeClr>
        </a:solidFill>
      </a:ln>
    </cs:spPr>
  </cs:upBar>
  <cs:valueAxis>
    <cs:lnRef idx="0"/>
    <cs:fillRef idx="0"/>
    <cs:effectRef idx="0"/>
    <cs:fontRef idx="minor">
      <a:schemeClr val="tx1">
        <a:lumMod val="50000"/>
        <a:lumOff val="50000"/>
      </a:schemeClr>
    </cs:fontRef>
    <cs:defRPr sz="900" kern="1200"/>
  </cs:valueAxis>
  <cs:wall>
    <cs:lnRef idx="0"/>
    <cs:fillRef idx="0"/>
    <cs:effectRef idx="0"/>
    <cs:fontRef idx="minor">
      <a:schemeClr val="tx1"/>
    </cs:fontRef>
    <cs:spPr>
      <a:sp3d/>
    </cs:spPr>
  </cs:wall>
</cs:chartStyle>
</file>

<file path=xl/drawings/_rels/drawing1.xml.rels><?xml version="1.0" encoding="UTF-8" standalone="yes"?>
<Relationships xmlns="http://schemas.openxmlformats.org/package/2006/relationships"><Relationship Id="rId2" Type="http://schemas.openxmlformats.org/officeDocument/2006/relationships/image" Target="../media/image3.png"/><Relationship Id="rId1" Type="http://schemas.openxmlformats.org/officeDocument/2006/relationships/image" Target="../media/image2.png"/></Relationships>
</file>

<file path=xl/drawings/_rels/drawing2.xml.rels><?xml version="1.0" encoding="UTF-8" standalone="yes"?>
<Relationships xmlns="http://schemas.openxmlformats.org/package/2006/relationships"><Relationship Id="rId3" Type="http://schemas.openxmlformats.org/officeDocument/2006/relationships/chart" Target="../charts/chart3.xml"/><Relationship Id="rId2" Type="http://schemas.openxmlformats.org/officeDocument/2006/relationships/chart" Target="../charts/chart2.xml"/><Relationship Id="rId1" Type="http://schemas.openxmlformats.org/officeDocument/2006/relationships/chart" Target="../charts/chart1.xml"/></Relationships>
</file>

<file path=xl/drawings/_rels/drawing3.xml.rels><?xml version="1.0" encoding="UTF-8" standalone="yes"?>
<Relationships xmlns="http://schemas.openxmlformats.org/package/2006/relationships"><Relationship Id="rId8" Type="http://schemas.openxmlformats.org/officeDocument/2006/relationships/chart" Target="../charts/chart5.xml"/><Relationship Id="rId3" Type="http://schemas.openxmlformats.org/officeDocument/2006/relationships/image" Target="../media/image7.png"/><Relationship Id="rId7" Type="http://schemas.openxmlformats.org/officeDocument/2006/relationships/chart" Target="../charts/chart4.xml"/><Relationship Id="rId2" Type="http://schemas.openxmlformats.org/officeDocument/2006/relationships/image" Target="../media/image6.svg"/><Relationship Id="rId1" Type="http://schemas.openxmlformats.org/officeDocument/2006/relationships/image" Target="../media/image5.png"/><Relationship Id="rId6" Type="http://schemas.openxmlformats.org/officeDocument/2006/relationships/image" Target="../media/image10.svg"/><Relationship Id="rId5" Type="http://schemas.openxmlformats.org/officeDocument/2006/relationships/image" Target="../media/image9.png"/><Relationship Id="rId10" Type="http://schemas.openxmlformats.org/officeDocument/2006/relationships/image" Target="../media/image12.svg"/><Relationship Id="rId4" Type="http://schemas.openxmlformats.org/officeDocument/2006/relationships/image" Target="../media/image8.svg"/><Relationship Id="rId9" Type="http://schemas.openxmlformats.org/officeDocument/2006/relationships/image" Target="../media/image11.png"/></Relationships>
</file>

<file path=xl/drawings/drawing1.xml><?xml version="1.0" encoding="utf-8"?>
<xdr:wsDr xmlns:xdr="http://schemas.openxmlformats.org/drawingml/2006/spreadsheetDrawing" xmlns:a="http://schemas.openxmlformats.org/drawingml/2006/main">
  <xdr:twoCellAnchor editAs="absolute">
    <xdr:from>
      <xdr:col>0</xdr:col>
      <xdr:colOff>0</xdr:colOff>
      <xdr:row>0</xdr:row>
      <xdr:rowOff>1</xdr:rowOff>
    </xdr:from>
    <xdr:to>
      <xdr:col>7</xdr:col>
      <xdr:colOff>1110270</xdr:colOff>
      <xdr:row>6</xdr:row>
      <xdr:rowOff>120799</xdr:rowOff>
    </xdr:to>
    <xdr:pic>
      <xdr:nvPicPr>
        <xdr:cNvPr id="2" name="Picture 1" title="Macquarie University Logo">
          <a:extLst>
            <a:ext uri="{FF2B5EF4-FFF2-40B4-BE49-F238E27FC236}">
              <a16:creationId xmlns:a16="http://schemas.microsoft.com/office/drawing/2014/main" id="{45E04198-DA21-4113-8098-726A7B40EFCA}"/>
            </a:ext>
          </a:extLst>
        </xdr:cNvPr>
        <xdr:cNvPicPr>
          <a:picLocks noChangeAspect="1"/>
        </xdr:cNvPicPr>
      </xdr:nvPicPr>
      <xdr:blipFill rotWithShape="1">
        <a:blip xmlns:r="http://schemas.openxmlformats.org/officeDocument/2006/relationships" r:embed="rId1" cstate="print">
          <a:extLst>
            <a:ext uri="{28A0092B-C50C-407E-A947-70E740481C1C}">
              <a14:useLocalDpi xmlns:a14="http://schemas.microsoft.com/office/drawing/2010/main" val="0"/>
            </a:ext>
          </a:extLst>
        </a:blip>
        <a:srcRect t="7086"/>
        <a:stretch/>
      </xdr:blipFill>
      <xdr:spPr>
        <a:xfrm>
          <a:off x="0" y="1"/>
          <a:ext cx="4809145" cy="1660673"/>
        </a:xfrm>
        <a:prstGeom prst="rect">
          <a:avLst/>
        </a:prstGeom>
      </xdr:spPr>
    </xdr:pic>
    <xdr:clientData/>
  </xdr:twoCellAnchor>
  <xdr:twoCellAnchor editAs="oneCell">
    <xdr:from>
      <xdr:col>1</xdr:col>
      <xdr:colOff>0</xdr:colOff>
      <xdr:row>27</xdr:row>
      <xdr:rowOff>123030</xdr:rowOff>
    </xdr:from>
    <xdr:to>
      <xdr:col>14</xdr:col>
      <xdr:colOff>1384694</xdr:colOff>
      <xdr:row>57</xdr:row>
      <xdr:rowOff>2324</xdr:rowOff>
    </xdr:to>
    <xdr:pic>
      <xdr:nvPicPr>
        <xdr:cNvPr id="4" name="Picture 3">
          <a:extLst>
            <a:ext uri="{FF2B5EF4-FFF2-40B4-BE49-F238E27FC236}">
              <a16:creationId xmlns:a16="http://schemas.microsoft.com/office/drawing/2014/main" id="{78D7111B-A1BF-4904-995F-9573113F0D5E}"/>
            </a:ext>
          </a:extLst>
        </xdr:cNvPr>
        <xdr:cNvPicPr>
          <a:picLocks noChangeAspect="1"/>
        </xdr:cNvPicPr>
      </xdr:nvPicPr>
      <xdr:blipFill>
        <a:blip xmlns:r="http://schemas.openxmlformats.org/officeDocument/2006/relationships" r:embed="rId2"/>
        <a:stretch>
          <a:fillRect/>
        </a:stretch>
      </xdr:blipFill>
      <xdr:spPr>
        <a:xfrm>
          <a:off x="381000" y="5044280"/>
          <a:ext cx="10111976" cy="5356169"/>
        </a:xfrm>
        <a:prstGeom prst="rect">
          <a:avLst/>
        </a:prstGeom>
      </xdr:spPr>
    </xdr:pic>
    <xdr:clientData/>
  </xdr:twoCellAnchor>
</xdr:wsDr>
</file>

<file path=xl/drawings/drawing2.xml><?xml version="1.0" encoding="utf-8"?>
<xdr:wsDr xmlns:xdr="http://schemas.openxmlformats.org/drawingml/2006/spreadsheetDrawing" xmlns:a="http://schemas.openxmlformats.org/drawingml/2006/main">
  <xdr:twoCellAnchor>
    <xdr:from>
      <xdr:col>9</xdr:col>
      <xdr:colOff>940955</xdr:colOff>
      <xdr:row>21</xdr:row>
      <xdr:rowOff>83127</xdr:rowOff>
    </xdr:from>
    <xdr:to>
      <xdr:col>15</xdr:col>
      <xdr:colOff>75046</xdr:colOff>
      <xdr:row>35</xdr:row>
      <xdr:rowOff>78509</xdr:rowOff>
    </xdr:to>
    <xdr:graphicFrame macro="">
      <xdr:nvGraphicFramePr>
        <xdr:cNvPr id="2" name="Chart 1">
          <a:extLst>
            <a:ext uri="{FF2B5EF4-FFF2-40B4-BE49-F238E27FC236}">
              <a16:creationId xmlns:a16="http://schemas.microsoft.com/office/drawing/2014/main" id="{19E08AF7-5FC2-429A-64B4-3DAE24036BCC}"/>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4</xdr:col>
      <xdr:colOff>51954</xdr:colOff>
      <xdr:row>46</xdr:row>
      <xdr:rowOff>106218</xdr:rowOff>
    </xdr:from>
    <xdr:to>
      <xdr:col>8</xdr:col>
      <xdr:colOff>259772</xdr:colOff>
      <xdr:row>60</xdr:row>
      <xdr:rowOff>101600</xdr:rowOff>
    </xdr:to>
    <xdr:graphicFrame macro="">
      <xdr:nvGraphicFramePr>
        <xdr:cNvPr id="5" name="Chart 4">
          <a:extLst>
            <a:ext uri="{FF2B5EF4-FFF2-40B4-BE49-F238E27FC236}">
              <a16:creationId xmlns:a16="http://schemas.microsoft.com/office/drawing/2014/main" id="{0F296F1C-D071-4A67-B314-59B2C8388364}"/>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11</xdr:col>
      <xdr:colOff>594590</xdr:colOff>
      <xdr:row>6</xdr:row>
      <xdr:rowOff>129309</xdr:rowOff>
    </xdr:from>
    <xdr:to>
      <xdr:col>17</xdr:col>
      <xdr:colOff>178954</xdr:colOff>
      <xdr:row>20</xdr:row>
      <xdr:rowOff>124691</xdr:rowOff>
    </xdr:to>
    <xdr:graphicFrame macro="">
      <xdr:nvGraphicFramePr>
        <xdr:cNvPr id="6" name="Chart 5">
          <a:extLst>
            <a:ext uri="{FF2B5EF4-FFF2-40B4-BE49-F238E27FC236}">
              <a16:creationId xmlns:a16="http://schemas.microsoft.com/office/drawing/2014/main" id="{E1FC734A-43C0-D1E8-9365-C44DB833B15C}"/>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editAs="oneCell">
    <xdr:from>
      <xdr:col>8</xdr:col>
      <xdr:colOff>185883</xdr:colOff>
      <xdr:row>31</xdr:row>
      <xdr:rowOff>16164</xdr:rowOff>
    </xdr:from>
    <xdr:to>
      <xdr:col>9</xdr:col>
      <xdr:colOff>652319</xdr:colOff>
      <xdr:row>43</xdr:row>
      <xdr:rowOff>89760</xdr:rowOff>
    </xdr:to>
    <mc:AlternateContent xmlns:mc="http://schemas.openxmlformats.org/markup-compatibility/2006">
      <mc:Choice xmlns:a14="http://schemas.microsoft.com/office/drawing/2010/main" Requires="a14">
        <xdr:graphicFrame macro="">
          <xdr:nvGraphicFramePr>
            <xdr:cNvPr id="8" name="Full/Part Time">
              <a:extLst>
                <a:ext uri="{FF2B5EF4-FFF2-40B4-BE49-F238E27FC236}">
                  <a16:creationId xmlns:a16="http://schemas.microsoft.com/office/drawing/2014/main" id="{4C6257CD-26E6-1093-52F2-A7133C9CDB04}"/>
                </a:ext>
              </a:extLst>
            </xdr:cNvPr>
            <xdr:cNvGraphicFramePr/>
          </xdr:nvGraphicFramePr>
          <xdr:xfrm>
            <a:off x="0" y="0"/>
            <a:ext cx="0" cy="0"/>
          </xdr:xfrm>
          <a:graphic>
            <a:graphicData uri="http://schemas.microsoft.com/office/drawing/2010/slicer">
              <sle:slicer xmlns:sle="http://schemas.microsoft.com/office/drawing/2010/slicer" name="Full/Part Time"/>
            </a:graphicData>
          </a:graphic>
        </xdr:graphicFrame>
      </mc:Choice>
      <mc:Fallback>
        <xdr:sp macro="" textlink="">
          <xdr:nvSpPr>
            <xdr:cNvPr id="0" name=""/>
            <xdr:cNvSpPr>
              <a:spLocks noTextEdit="1"/>
            </xdr:cNvSpPr>
          </xdr:nvSpPr>
          <xdr:spPr>
            <a:xfrm>
              <a:off x="7932883" y="6135255"/>
              <a:ext cx="1828800" cy="2428869"/>
            </a:xfrm>
            <a:prstGeom prst="rect">
              <a:avLst/>
            </a:prstGeom>
            <a:solidFill>
              <a:prstClr val="white"/>
            </a:solidFill>
            <a:ln w="1">
              <a:solidFill>
                <a:prstClr val="green"/>
              </a:solidFill>
            </a:ln>
          </xdr:spPr>
          <xdr:txBody>
            <a:bodyPr vertOverflow="clip" horzOverflow="clip"/>
            <a:lstStyle/>
            <a:p>
              <a:r>
                <a:rPr lang="en-GB"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5</xdr:col>
      <xdr:colOff>691572</xdr:colOff>
      <xdr:row>30</xdr:row>
      <xdr:rowOff>152400</xdr:rowOff>
    </xdr:from>
    <xdr:to>
      <xdr:col>7</xdr:col>
      <xdr:colOff>396009</xdr:colOff>
      <xdr:row>43</xdr:row>
      <xdr:rowOff>29723</xdr:rowOff>
    </xdr:to>
    <mc:AlternateContent xmlns:mc="http://schemas.openxmlformats.org/markup-compatibility/2006">
      <mc:Choice xmlns:a14="http://schemas.microsoft.com/office/drawing/2010/main" Requires="a14">
        <xdr:graphicFrame macro="">
          <xdr:nvGraphicFramePr>
            <xdr:cNvPr id="9" name="Department">
              <a:extLst>
                <a:ext uri="{FF2B5EF4-FFF2-40B4-BE49-F238E27FC236}">
                  <a16:creationId xmlns:a16="http://schemas.microsoft.com/office/drawing/2014/main" id="{28A04ED6-181B-93B2-B83D-55BB76E3CC18}"/>
                </a:ext>
              </a:extLst>
            </xdr:cNvPr>
            <xdr:cNvGraphicFramePr/>
          </xdr:nvGraphicFramePr>
          <xdr:xfrm>
            <a:off x="0" y="0"/>
            <a:ext cx="0" cy="0"/>
          </xdr:xfrm>
          <a:graphic>
            <a:graphicData uri="http://schemas.microsoft.com/office/drawing/2010/slicer">
              <sle:slicer xmlns:sle="http://schemas.microsoft.com/office/drawing/2010/slicer" name="Department"/>
            </a:graphicData>
          </a:graphic>
        </xdr:graphicFrame>
      </mc:Choice>
      <mc:Fallback>
        <xdr:sp macro="" textlink="">
          <xdr:nvSpPr>
            <xdr:cNvPr id="0" name=""/>
            <xdr:cNvSpPr>
              <a:spLocks noTextEdit="1"/>
            </xdr:cNvSpPr>
          </xdr:nvSpPr>
          <xdr:spPr>
            <a:xfrm>
              <a:off x="5482936" y="6075218"/>
              <a:ext cx="1828800" cy="2428869"/>
            </a:xfrm>
            <a:prstGeom prst="rect">
              <a:avLst/>
            </a:prstGeom>
            <a:solidFill>
              <a:prstClr val="white"/>
            </a:solidFill>
            <a:ln w="1">
              <a:solidFill>
                <a:prstClr val="green"/>
              </a:solidFill>
            </a:ln>
          </xdr:spPr>
          <xdr:txBody>
            <a:bodyPr vertOverflow="clip" horzOverflow="clip"/>
            <a:lstStyle/>
            <a:p>
              <a:r>
                <a:rPr lang="en-GB"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wsDr>
</file>

<file path=xl/drawings/drawing3.xml><?xml version="1.0" encoding="utf-8"?>
<xdr:wsDr xmlns:xdr="http://schemas.openxmlformats.org/drawingml/2006/spreadsheetDrawing" xmlns:a="http://schemas.openxmlformats.org/drawingml/2006/main">
  <xdr:twoCellAnchor>
    <xdr:from>
      <xdr:col>0</xdr:col>
      <xdr:colOff>342900</xdr:colOff>
      <xdr:row>1</xdr:row>
      <xdr:rowOff>114300</xdr:rowOff>
    </xdr:from>
    <xdr:to>
      <xdr:col>29</xdr:col>
      <xdr:colOff>304800</xdr:colOff>
      <xdr:row>56</xdr:row>
      <xdr:rowOff>127000</xdr:rowOff>
    </xdr:to>
    <xdr:sp macro="" textlink="">
      <xdr:nvSpPr>
        <xdr:cNvPr id="2" name="Rounded Rectangle 1">
          <a:extLst>
            <a:ext uri="{FF2B5EF4-FFF2-40B4-BE49-F238E27FC236}">
              <a16:creationId xmlns:a16="http://schemas.microsoft.com/office/drawing/2014/main" id="{CA8F7113-328E-AFBC-85D7-F70D8CF0A961}"/>
            </a:ext>
          </a:extLst>
        </xdr:cNvPr>
        <xdr:cNvSpPr/>
      </xdr:nvSpPr>
      <xdr:spPr>
        <a:xfrm>
          <a:off x="342900" y="304800"/>
          <a:ext cx="23901400" cy="10490200"/>
        </a:xfrm>
        <a:prstGeom prst="roundRect">
          <a:avLst>
            <a:gd name="adj" fmla="val 3838"/>
          </a:avLst>
        </a:prstGeom>
        <a:solidFill>
          <a:schemeClr val="bg1"/>
        </a:solidFill>
        <a:ln>
          <a:noFill/>
        </a:ln>
        <a:effectLst>
          <a:outerShdw blurRad="69912"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clientData/>
  </xdr:twoCellAnchor>
  <xdr:twoCellAnchor>
    <xdr:from>
      <xdr:col>0</xdr:col>
      <xdr:colOff>355600</xdr:colOff>
      <xdr:row>18</xdr:row>
      <xdr:rowOff>63500</xdr:rowOff>
    </xdr:from>
    <xdr:to>
      <xdr:col>1</xdr:col>
      <xdr:colOff>355600</xdr:colOff>
      <xdr:row>41</xdr:row>
      <xdr:rowOff>50800</xdr:rowOff>
    </xdr:to>
    <xdr:sp macro="" textlink="">
      <xdr:nvSpPr>
        <xdr:cNvPr id="3" name="Delay 2">
          <a:extLst>
            <a:ext uri="{FF2B5EF4-FFF2-40B4-BE49-F238E27FC236}">
              <a16:creationId xmlns:a16="http://schemas.microsoft.com/office/drawing/2014/main" id="{E6591B8F-F8E6-F3D0-31B1-819AF9764BA8}"/>
            </a:ext>
          </a:extLst>
        </xdr:cNvPr>
        <xdr:cNvSpPr/>
      </xdr:nvSpPr>
      <xdr:spPr>
        <a:xfrm>
          <a:off x="355600" y="3492500"/>
          <a:ext cx="825500" cy="4368800"/>
        </a:xfrm>
        <a:prstGeom prst="flowChartDelay">
          <a:avLst/>
        </a:prstGeom>
        <a:solidFill>
          <a:srgbClr val="38D4D6"/>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clientData/>
  </xdr:twoCellAnchor>
  <xdr:twoCellAnchor>
    <xdr:from>
      <xdr:col>1</xdr:col>
      <xdr:colOff>749300</xdr:colOff>
      <xdr:row>7</xdr:row>
      <xdr:rowOff>38100</xdr:rowOff>
    </xdr:from>
    <xdr:to>
      <xdr:col>7</xdr:col>
      <xdr:colOff>63500</xdr:colOff>
      <xdr:row>15</xdr:row>
      <xdr:rowOff>177800</xdr:rowOff>
    </xdr:to>
    <xdr:sp macro="" textlink="">
      <xdr:nvSpPr>
        <xdr:cNvPr id="4" name="Rounded Rectangle 3">
          <a:extLst>
            <a:ext uri="{FF2B5EF4-FFF2-40B4-BE49-F238E27FC236}">
              <a16:creationId xmlns:a16="http://schemas.microsoft.com/office/drawing/2014/main" id="{9574A10D-4E6E-2058-E5C6-F6C67B9F68EC}"/>
            </a:ext>
          </a:extLst>
        </xdr:cNvPr>
        <xdr:cNvSpPr/>
      </xdr:nvSpPr>
      <xdr:spPr>
        <a:xfrm>
          <a:off x="1574800" y="1371600"/>
          <a:ext cx="4267200" cy="1663700"/>
        </a:xfrm>
        <a:prstGeom prst="roundRect">
          <a:avLst/>
        </a:prstGeom>
        <a:solidFill>
          <a:schemeClr val="bg1">
            <a:lumMod val="95000"/>
          </a:schemeClr>
        </a:solidFill>
        <a:ln>
          <a:noFill/>
        </a:ln>
        <a:effectLst>
          <a:outerShdw blurRad="549087" dist="37891" dir="5400000" algn="t"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clientData/>
  </xdr:twoCellAnchor>
  <xdr:twoCellAnchor>
    <xdr:from>
      <xdr:col>7</xdr:col>
      <xdr:colOff>622300</xdr:colOff>
      <xdr:row>7</xdr:row>
      <xdr:rowOff>12700</xdr:rowOff>
    </xdr:from>
    <xdr:to>
      <xdr:col>12</xdr:col>
      <xdr:colOff>762000</xdr:colOff>
      <xdr:row>15</xdr:row>
      <xdr:rowOff>152400</xdr:rowOff>
    </xdr:to>
    <xdr:sp macro="" textlink="">
      <xdr:nvSpPr>
        <xdr:cNvPr id="8" name="Rounded Rectangle 7">
          <a:extLst>
            <a:ext uri="{FF2B5EF4-FFF2-40B4-BE49-F238E27FC236}">
              <a16:creationId xmlns:a16="http://schemas.microsoft.com/office/drawing/2014/main" id="{0BE99E83-92FF-E240-A26A-CE230B53ACAB}"/>
            </a:ext>
          </a:extLst>
        </xdr:cNvPr>
        <xdr:cNvSpPr/>
      </xdr:nvSpPr>
      <xdr:spPr>
        <a:xfrm>
          <a:off x="6400800" y="1346200"/>
          <a:ext cx="4267200" cy="1663700"/>
        </a:xfrm>
        <a:prstGeom prst="roundRect">
          <a:avLst/>
        </a:prstGeom>
        <a:gradFill flip="none" rotWithShape="1">
          <a:gsLst>
            <a:gs pos="100000">
              <a:srgbClr val="38D4D6">
                <a:shade val="30000"/>
                <a:satMod val="115000"/>
              </a:srgbClr>
            </a:gs>
            <a:gs pos="40000">
              <a:srgbClr val="38D4D6">
                <a:shade val="67500"/>
                <a:satMod val="115000"/>
              </a:srgbClr>
            </a:gs>
            <a:gs pos="100000">
              <a:srgbClr val="38D4D6">
                <a:shade val="100000"/>
                <a:satMod val="115000"/>
              </a:srgbClr>
            </a:gs>
          </a:gsLst>
          <a:path path="circle">
            <a:fillToRect r="100000" b="100000"/>
          </a:path>
          <a:tileRect l="-100000" t="-100000"/>
        </a:gradFill>
        <a:ln>
          <a:noFill/>
        </a:ln>
        <a:effectLst>
          <a:outerShdw blurRad="811807" dist="195701" dir="6360000" algn="t" rotWithShape="0">
            <a:prstClr val="black">
              <a:alpha val="40000"/>
            </a:prstClr>
          </a:outerShdw>
        </a:effectLst>
        <a:scene3d>
          <a:camera prst="perspectiveFront"/>
          <a:lightRig rig="threePt" dir="t"/>
        </a:scene3d>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clientData/>
  </xdr:twoCellAnchor>
  <xdr:twoCellAnchor>
    <xdr:from>
      <xdr:col>13</xdr:col>
      <xdr:colOff>469900</xdr:colOff>
      <xdr:row>7</xdr:row>
      <xdr:rowOff>25400</xdr:rowOff>
    </xdr:from>
    <xdr:to>
      <xdr:col>18</xdr:col>
      <xdr:colOff>609600</xdr:colOff>
      <xdr:row>15</xdr:row>
      <xdr:rowOff>165100</xdr:rowOff>
    </xdr:to>
    <xdr:sp macro="" textlink="">
      <xdr:nvSpPr>
        <xdr:cNvPr id="9" name="Rounded Rectangle 8">
          <a:extLst>
            <a:ext uri="{FF2B5EF4-FFF2-40B4-BE49-F238E27FC236}">
              <a16:creationId xmlns:a16="http://schemas.microsoft.com/office/drawing/2014/main" id="{E29E1E06-0F8B-0342-B6F1-16EBE429E397}"/>
            </a:ext>
          </a:extLst>
        </xdr:cNvPr>
        <xdr:cNvSpPr/>
      </xdr:nvSpPr>
      <xdr:spPr>
        <a:xfrm>
          <a:off x="11201400" y="1358900"/>
          <a:ext cx="4267200" cy="1663700"/>
        </a:xfrm>
        <a:prstGeom prst="roundRect">
          <a:avLst/>
        </a:prstGeom>
        <a:solidFill>
          <a:schemeClr val="bg1">
            <a:lumMod val="95000"/>
          </a:schemeClr>
        </a:solidFill>
        <a:ln>
          <a:noFill/>
        </a:ln>
        <a:effectLst>
          <a:outerShdw blurRad="874420" dist="127605"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clientData/>
  </xdr:twoCellAnchor>
  <xdr:twoCellAnchor>
    <xdr:from>
      <xdr:col>19</xdr:col>
      <xdr:colOff>469900</xdr:colOff>
      <xdr:row>7</xdr:row>
      <xdr:rowOff>50800</xdr:rowOff>
    </xdr:from>
    <xdr:to>
      <xdr:col>24</xdr:col>
      <xdr:colOff>609600</xdr:colOff>
      <xdr:row>16</xdr:row>
      <xdr:rowOff>0</xdr:rowOff>
    </xdr:to>
    <xdr:sp macro="" textlink="">
      <xdr:nvSpPr>
        <xdr:cNvPr id="10" name="Rounded Rectangle 9">
          <a:extLst>
            <a:ext uri="{FF2B5EF4-FFF2-40B4-BE49-F238E27FC236}">
              <a16:creationId xmlns:a16="http://schemas.microsoft.com/office/drawing/2014/main" id="{212EF804-2527-A94B-952D-992164481E10}"/>
            </a:ext>
          </a:extLst>
        </xdr:cNvPr>
        <xdr:cNvSpPr/>
      </xdr:nvSpPr>
      <xdr:spPr>
        <a:xfrm>
          <a:off x="16154400" y="1384300"/>
          <a:ext cx="4267200" cy="1663700"/>
        </a:xfrm>
        <a:prstGeom prst="roundRect">
          <a:avLst/>
        </a:prstGeom>
        <a:solidFill>
          <a:schemeClr val="bg1">
            <a:lumMod val="95000"/>
          </a:schemeClr>
        </a:solidFill>
        <a:ln>
          <a:noFill/>
        </a:ln>
        <a:effectLst>
          <a:outerShdw blurRad="404760" dist="87834" dir="8280000" algn="t"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clientData/>
  </xdr:twoCellAnchor>
  <xdr:twoCellAnchor>
    <xdr:from>
      <xdr:col>25</xdr:col>
      <xdr:colOff>469900</xdr:colOff>
      <xdr:row>6</xdr:row>
      <xdr:rowOff>38100</xdr:rowOff>
    </xdr:from>
    <xdr:to>
      <xdr:col>29</xdr:col>
      <xdr:colOff>88900</xdr:colOff>
      <xdr:row>56</xdr:row>
      <xdr:rowOff>25400</xdr:rowOff>
    </xdr:to>
    <xdr:sp macro="" textlink="">
      <xdr:nvSpPr>
        <xdr:cNvPr id="12" name="Rounded Rectangle 11">
          <a:extLst>
            <a:ext uri="{FF2B5EF4-FFF2-40B4-BE49-F238E27FC236}">
              <a16:creationId xmlns:a16="http://schemas.microsoft.com/office/drawing/2014/main" id="{C3ABBCAD-03AD-0BF0-722A-253DABEEBA79}"/>
            </a:ext>
          </a:extLst>
        </xdr:cNvPr>
        <xdr:cNvSpPr/>
      </xdr:nvSpPr>
      <xdr:spPr>
        <a:xfrm>
          <a:off x="21107400" y="1181100"/>
          <a:ext cx="2921000" cy="9512300"/>
        </a:xfrm>
        <a:prstGeom prst="roundRect">
          <a:avLst/>
        </a:prstGeom>
        <a:solidFill>
          <a:schemeClr val="bg1">
            <a:lumMod val="95000"/>
          </a:schemeClr>
        </a:solidFill>
        <a:ln>
          <a:noFill/>
        </a:ln>
        <a:effectLst>
          <a:outerShdw blurRad="799692" dist="79876" dir="522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clientData/>
  </xdr:twoCellAnchor>
  <xdr:twoCellAnchor>
    <xdr:from>
      <xdr:col>9</xdr:col>
      <xdr:colOff>165100</xdr:colOff>
      <xdr:row>2</xdr:row>
      <xdr:rowOff>25400</xdr:rowOff>
    </xdr:from>
    <xdr:to>
      <xdr:col>16</xdr:col>
      <xdr:colOff>406400</xdr:colOff>
      <xdr:row>5</xdr:row>
      <xdr:rowOff>12700</xdr:rowOff>
    </xdr:to>
    <xdr:sp macro="" textlink="">
      <xdr:nvSpPr>
        <xdr:cNvPr id="13" name="Snip Diagonal Corner of Rectangle 12">
          <a:extLst>
            <a:ext uri="{FF2B5EF4-FFF2-40B4-BE49-F238E27FC236}">
              <a16:creationId xmlns:a16="http://schemas.microsoft.com/office/drawing/2014/main" id="{C39F682A-05B6-305A-EFE7-E3CD54C66084}"/>
            </a:ext>
          </a:extLst>
        </xdr:cNvPr>
        <xdr:cNvSpPr/>
      </xdr:nvSpPr>
      <xdr:spPr>
        <a:xfrm>
          <a:off x="7594600" y="406400"/>
          <a:ext cx="6019800" cy="558800"/>
        </a:xfrm>
        <a:prstGeom prst="snip2DiagRect">
          <a:avLst/>
        </a:prstGeom>
        <a:solidFill>
          <a:schemeClr val="bg1">
            <a:lumMod val="95000"/>
          </a:schemeClr>
        </a:solidFill>
        <a:ln>
          <a:noFill/>
        </a:ln>
        <a:effectLst>
          <a:outerShdw blurRad="286418" dist="84367"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marL="0" marR="0" lvl="0" indent="0" algn="ctr" defTabSz="914400" eaLnBrk="1" fontAlgn="auto" latinLnBrk="0" hangingPunct="1">
            <a:lnSpc>
              <a:spcPct val="100000"/>
            </a:lnSpc>
            <a:spcBef>
              <a:spcPts val="0"/>
            </a:spcBef>
            <a:spcAft>
              <a:spcPts val="0"/>
            </a:spcAft>
            <a:buClrTx/>
            <a:buSzTx/>
            <a:buFontTx/>
            <a:buNone/>
            <a:tabLst/>
            <a:defRPr/>
          </a:pPr>
          <a:r>
            <a:rPr lang="en-IN" sz="2400" b="1">
              <a:gradFill>
                <a:gsLst>
                  <a:gs pos="91000">
                    <a:srgbClr val="38D4D6">
                      <a:shade val="30000"/>
                      <a:satMod val="115000"/>
                    </a:srgbClr>
                  </a:gs>
                  <a:gs pos="100000">
                    <a:srgbClr val="38D4D6">
                      <a:shade val="67500"/>
                      <a:satMod val="115000"/>
                    </a:srgbClr>
                  </a:gs>
                  <a:gs pos="12000">
                    <a:srgbClr val="38D4D6">
                      <a:shade val="100000"/>
                      <a:satMod val="115000"/>
                    </a:srgbClr>
                  </a:gs>
                </a:gsLst>
                <a:path path="circle">
                  <a:fillToRect r="100000" b="100000"/>
                </a:path>
              </a:gradFill>
              <a:effectLst>
                <a:outerShdw dir="4320000" algn="ctr" rotWithShape="0">
                  <a:srgbClr val="000000">
                    <a:alpha val="31000"/>
                  </a:srgbClr>
                </a:outerShdw>
              </a:effectLst>
              <a:latin typeface="Times New Roman" panose="02020603050405020304" pitchFamily="18" charset="0"/>
              <a:cs typeface="Times New Roman" panose="02020603050405020304" pitchFamily="18" charset="0"/>
            </a:rPr>
            <a:t>HR Employee Overview</a:t>
          </a:r>
        </a:p>
      </xdr:txBody>
    </xdr:sp>
    <xdr:clientData/>
  </xdr:twoCellAnchor>
  <xdr:twoCellAnchor>
    <xdr:from>
      <xdr:col>2</xdr:col>
      <xdr:colOff>749300</xdr:colOff>
      <xdr:row>13</xdr:row>
      <xdr:rowOff>50800</xdr:rowOff>
    </xdr:from>
    <xdr:to>
      <xdr:col>5</xdr:col>
      <xdr:colOff>647700</xdr:colOff>
      <xdr:row>15</xdr:row>
      <xdr:rowOff>127000</xdr:rowOff>
    </xdr:to>
    <xdr:sp macro="" textlink="'Pivot Table'!D3">
      <xdr:nvSpPr>
        <xdr:cNvPr id="14" name="Rectangle 13">
          <a:extLst>
            <a:ext uri="{FF2B5EF4-FFF2-40B4-BE49-F238E27FC236}">
              <a16:creationId xmlns:a16="http://schemas.microsoft.com/office/drawing/2014/main" id="{B5B93F4F-C1C4-63A5-0023-110C1F14E191}"/>
            </a:ext>
          </a:extLst>
        </xdr:cNvPr>
        <xdr:cNvSpPr/>
      </xdr:nvSpPr>
      <xdr:spPr>
        <a:xfrm>
          <a:off x="2400300" y="2527300"/>
          <a:ext cx="2374900" cy="457200"/>
        </a:xfrm>
        <a:prstGeom prst="rect">
          <a:avLst/>
        </a:prstGeom>
        <a:no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fld id="{33925862-95A4-354C-8459-61AC160C8819}" type="TxLink">
            <a:rPr lang="en-US" sz="2400" b="0" i="0" u="none" strike="noStrike">
              <a:solidFill>
                <a:srgbClr val="007879"/>
              </a:solidFill>
              <a:latin typeface="Calibri"/>
              <a:cs typeface="Calibri"/>
            </a:rPr>
            <a:t>Total Employees</a:t>
          </a:fld>
          <a:endParaRPr lang="en-GB" sz="2400">
            <a:solidFill>
              <a:srgbClr val="007879"/>
            </a:solidFill>
          </a:endParaRPr>
        </a:p>
      </xdr:txBody>
    </xdr:sp>
    <xdr:clientData/>
  </xdr:twoCellAnchor>
  <xdr:twoCellAnchor editAs="oneCell">
    <xdr:from>
      <xdr:col>2</xdr:col>
      <xdr:colOff>25400</xdr:colOff>
      <xdr:row>8</xdr:row>
      <xdr:rowOff>50800</xdr:rowOff>
    </xdr:from>
    <xdr:to>
      <xdr:col>3</xdr:col>
      <xdr:colOff>393700</xdr:colOff>
      <xdr:row>13</xdr:row>
      <xdr:rowOff>88900</xdr:rowOff>
    </xdr:to>
    <xdr:pic>
      <xdr:nvPicPr>
        <xdr:cNvPr id="16" name="Graphic 15" descr="Employee badge with solid fill">
          <a:extLst>
            <a:ext uri="{FF2B5EF4-FFF2-40B4-BE49-F238E27FC236}">
              <a16:creationId xmlns:a16="http://schemas.microsoft.com/office/drawing/2014/main" id="{2D0C4F1F-570E-EF49-6AE2-1ACABC481096}"/>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a:off x="1676400" y="1574800"/>
          <a:ext cx="1193800" cy="990600"/>
        </a:xfrm>
        <a:prstGeom prst="rect">
          <a:avLst/>
        </a:prstGeom>
      </xdr:spPr>
    </xdr:pic>
    <xdr:clientData/>
  </xdr:twoCellAnchor>
  <xdr:twoCellAnchor>
    <xdr:from>
      <xdr:col>4</xdr:col>
      <xdr:colOff>165100</xdr:colOff>
      <xdr:row>7</xdr:row>
      <xdr:rowOff>152400</xdr:rowOff>
    </xdr:from>
    <xdr:to>
      <xdr:col>5</xdr:col>
      <xdr:colOff>355600</xdr:colOff>
      <xdr:row>12</xdr:row>
      <xdr:rowOff>139700</xdr:rowOff>
    </xdr:to>
    <xdr:sp macro="" textlink="'Pivot Table'!D4">
      <xdr:nvSpPr>
        <xdr:cNvPr id="18" name="Rectangle 17">
          <a:extLst>
            <a:ext uri="{FF2B5EF4-FFF2-40B4-BE49-F238E27FC236}">
              <a16:creationId xmlns:a16="http://schemas.microsoft.com/office/drawing/2014/main" id="{C998BEC8-3A13-FD4B-B5AE-6016E53B6BE5}"/>
            </a:ext>
          </a:extLst>
        </xdr:cNvPr>
        <xdr:cNvSpPr/>
      </xdr:nvSpPr>
      <xdr:spPr>
        <a:xfrm>
          <a:off x="3467100" y="1485900"/>
          <a:ext cx="1016000" cy="939800"/>
        </a:xfrm>
        <a:prstGeom prst="rect">
          <a:avLst/>
        </a:prstGeom>
        <a:no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fld id="{46986E6F-3F65-CE4F-9CA3-2E5F53E3F6C2}" type="TxLink">
            <a:rPr lang="en-US" sz="4800" b="0" i="0" u="none" strike="noStrike">
              <a:solidFill>
                <a:srgbClr val="00A8AA"/>
              </a:solidFill>
              <a:latin typeface="Calibri"/>
              <a:cs typeface="Calibri"/>
            </a:rPr>
            <a:t>35</a:t>
          </a:fld>
          <a:endParaRPr lang="en-GB" sz="4800" b="0">
            <a:solidFill>
              <a:srgbClr val="00A8AA"/>
            </a:solidFill>
          </a:endParaRPr>
        </a:p>
      </xdr:txBody>
    </xdr:sp>
    <xdr:clientData/>
  </xdr:twoCellAnchor>
  <xdr:twoCellAnchor>
    <xdr:from>
      <xdr:col>8</xdr:col>
      <xdr:colOff>279400</xdr:colOff>
      <xdr:row>13</xdr:row>
      <xdr:rowOff>25400</xdr:rowOff>
    </xdr:from>
    <xdr:to>
      <xdr:col>11</xdr:col>
      <xdr:colOff>596900</xdr:colOff>
      <xdr:row>15</xdr:row>
      <xdr:rowOff>101600</xdr:rowOff>
    </xdr:to>
    <xdr:sp macro="" textlink="'Pivot Table'!D16">
      <xdr:nvSpPr>
        <xdr:cNvPr id="19" name="Rectangle 18">
          <a:extLst>
            <a:ext uri="{FF2B5EF4-FFF2-40B4-BE49-F238E27FC236}">
              <a16:creationId xmlns:a16="http://schemas.microsoft.com/office/drawing/2014/main" id="{62ADEB5F-B454-F948-B774-0CFF3BC2CFD3}"/>
            </a:ext>
          </a:extLst>
        </xdr:cNvPr>
        <xdr:cNvSpPr/>
      </xdr:nvSpPr>
      <xdr:spPr>
        <a:xfrm>
          <a:off x="6883400" y="2501900"/>
          <a:ext cx="2794000" cy="457200"/>
        </a:xfrm>
        <a:prstGeom prst="rect">
          <a:avLst/>
        </a:prstGeom>
        <a:no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en-GB" sz="2400">
              <a:solidFill>
                <a:schemeClr val="bg1"/>
              </a:solidFill>
            </a:rPr>
            <a:t>Full-time</a:t>
          </a:r>
          <a:r>
            <a:rPr lang="en-GB" sz="2400" baseline="0">
              <a:solidFill>
                <a:schemeClr val="bg1"/>
              </a:solidFill>
            </a:rPr>
            <a:t> Persentage</a:t>
          </a:r>
          <a:endParaRPr lang="en-GB" sz="2400">
            <a:solidFill>
              <a:schemeClr val="bg1"/>
            </a:solidFill>
          </a:endParaRPr>
        </a:p>
      </xdr:txBody>
    </xdr:sp>
    <xdr:clientData/>
  </xdr:twoCellAnchor>
  <xdr:twoCellAnchor>
    <xdr:from>
      <xdr:col>14</xdr:col>
      <xdr:colOff>546100</xdr:colOff>
      <xdr:row>13</xdr:row>
      <xdr:rowOff>0</xdr:rowOff>
    </xdr:from>
    <xdr:to>
      <xdr:col>17</xdr:col>
      <xdr:colOff>444500</xdr:colOff>
      <xdr:row>15</xdr:row>
      <xdr:rowOff>76200</xdr:rowOff>
    </xdr:to>
    <xdr:sp macro="" textlink="'Pivot Table'!I3">
      <xdr:nvSpPr>
        <xdr:cNvPr id="20" name="Rectangle 19">
          <a:extLst>
            <a:ext uri="{FF2B5EF4-FFF2-40B4-BE49-F238E27FC236}">
              <a16:creationId xmlns:a16="http://schemas.microsoft.com/office/drawing/2014/main" id="{E2531FA5-2771-AB4B-9890-69F339F3F931}"/>
            </a:ext>
          </a:extLst>
        </xdr:cNvPr>
        <xdr:cNvSpPr/>
      </xdr:nvSpPr>
      <xdr:spPr>
        <a:xfrm>
          <a:off x="12103100" y="2476500"/>
          <a:ext cx="2374900" cy="457200"/>
        </a:xfrm>
        <a:prstGeom prst="rect">
          <a:avLst/>
        </a:prstGeom>
        <a:no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fld id="{8F5E6C2D-25FC-A749-B9E0-4E1D45885186}" type="TxLink">
            <a:rPr lang="en-US" sz="2000" b="0" i="0" u="none" strike="noStrike">
              <a:solidFill>
                <a:srgbClr val="007879"/>
              </a:solidFill>
              <a:latin typeface="Calibri"/>
              <a:cs typeface="Calibri"/>
            </a:rPr>
            <a:t>Full-time Employees</a:t>
          </a:fld>
          <a:endParaRPr lang="en-GB" sz="4400">
            <a:solidFill>
              <a:srgbClr val="007879"/>
            </a:solidFill>
          </a:endParaRPr>
        </a:p>
      </xdr:txBody>
    </xdr:sp>
    <xdr:clientData/>
  </xdr:twoCellAnchor>
  <xdr:twoCellAnchor>
    <xdr:from>
      <xdr:col>20</xdr:col>
      <xdr:colOff>533400</xdr:colOff>
      <xdr:row>13</xdr:row>
      <xdr:rowOff>38100</xdr:rowOff>
    </xdr:from>
    <xdr:to>
      <xdr:col>23</xdr:col>
      <xdr:colOff>431800</xdr:colOff>
      <xdr:row>15</xdr:row>
      <xdr:rowOff>114300</xdr:rowOff>
    </xdr:to>
    <xdr:sp macro="" textlink="'Pivot Table'!J3">
      <xdr:nvSpPr>
        <xdr:cNvPr id="21" name="Rectangle 20">
          <a:extLst>
            <a:ext uri="{FF2B5EF4-FFF2-40B4-BE49-F238E27FC236}">
              <a16:creationId xmlns:a16="http://schemas.microsoft.com/office/drawing/2014/main" id="{B2C8CF49-9201-804D-889D-5E3176872C2D}"/>
            </a:ext>
          </a:extLst>
        </xdr:cNvPr>
        <xdr:cNvSpPr/>
      </xdr:nvSpPr>
      <xdr:spPr>
        <a:xfrm>
          <a:off x="17043400" y="2514600"/>
          <a:ext cx="2374900" cy="457200"/>
        </a:xfrm>
        <a:prstGeom prst="rect">
          <a:avLst/>
        </a:prstGeom>
        <a:no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fld id="{CB682C9F-F287-754F-9925-877E964DA151}" type="TxLink">
            <a:rPr lang="en-US" sz="2000" b="0" i="0" u="none" strike="noStrike">
              <a:solidFill>
                <a:srgbClr val="007879"/>
              </a:solidFill>
              <a:latin typeface="Calibri"/>
              <a:cs typeface="Calibri"/>
            </a:rPr>
            <a:t>Part-time Employees</a:t>
          </a:fld>
          <a:endParaRPr lang="en-GB" sz="4400">
            <a:solidFill>
              <a:srgbClr val="007879"/>
            </a:solidFill>
          </a:endParaRPr>
        </a:p>
      </xdr:txBody>
    </xdr:sp>
    <xdr:clientData/>
  </xdr:twoCellAnchor>
  <xdr:twoCellAnchor editAs="oneCell">
    <xdr:from>
      <xdr:col>14</xdr:col>
      <xdr:colOff>12700</xdr:colOff>
      <xdr:row>7</xdr:row>
      <xdr:rowOff>88900</xdr:rowOff>
    </xdr:from>
    <xdr:to>
      <xdr:col>15</xdr:col>
      <xdr:colOff>101600</xdr:colOff>
      <xdr:row>12</xdr:row>
      <xdr:rowOff>50800</xdr:rowOff>
    </xdr:to>
    <xdr:pic>
      <xdr:nvPicPr>
        <xdr:cNvPr id="27" name="Graphic 26" descr="Male profile with solid fill">
          <a:extLst>
            <a:ext uri="{FF2B5EF4-FFF2-40B4-BE49-F238E27FC236}">
              <a16:creationId xmlns:a16="http://schemas.microsoft.com/office/drawing/2014/main" id="{188B9B75-F6C0-B13A-12EB-1C6B12C349F5}"/>
            </a:ext>
          </a:extLst>
        </xdr:cNvPr>
        <xdr:cNvPicPr>
          <a:picLocks noChangeAspect="1"/>
        </xdr:cNvPicPr>
      </xdr:nvPicPr>
      <xdr:blipFill>
        <a:blip xmlns:r="http://schemas.openxmlformats.org/officeDocument/2006/relationships" r:embed="rId3">
          <a:extLst>
            <a:ext uri="{96DAC541-7B7A-43D3-8B79-37D633B846F1}">
              <asvg:svgBlip xmlns:asvg="http://schemas.microsoft.com/office/drawing/2016/SVG/main" r:embed="rId4"/>
            </a:ext>
          </a:extLst>
        </a:blip>
        <a:stretch>
          <a:fillRect/>
        </a:stretch>
      </xdr:blipFill>
      <xdr:spPr>
        <a:xfrm>
          <a:off x="11569700" y="1422400"/>
          <a:ext cx="914400" cy="914400"/>
        </a:xfrm>
        <a:prstGeom prst="rect">
          <a:avLst/>
        </a:prstGeom>
      </xdr:spPr>
    </xdr:pic>
    <xdr:clientData/>
  </xdr:twoCellAnchor>
  <xdr:twoCellAnchor editAs="oneCell">
    <xdr:from>
      <xdr:col>20</xdr:col>
      <xdr:colOff>228600</xdr:colOff>
      <xdr:row>7</xdr:row>
      <xdr:rowOff>50800</xdr:rowOff>
    </xdr:from>
    <xdr:to>
      <xdr:col>21</xdr:col>
      <xdr:colOff>317500</xdr:colOff>
      <xdr:row>12</xdr:row>
      <xdr:rowOff>12700</xdr:rowOff>
    </xdr:to>
    <xdr:pic>
      <xdr:nvPicPr>
        <xdr:cNvPr id="29" name="Graphic 28" descr="User with solid fill">
          <a:extLst>
            <a:ext uri="{FF2B5EF4-FFF2-40B4-BE49-F238E27FC236}">
              <a16:creationId xmlns:a16="http://schemas.microsoft.com/office/drawing/2014/main" id="{FA33F08D-5288-36E3-8806-D6F06C4AD653}"/>
            </a:ext>
          </a:extLst>
        </xdr:cNvPr>
        <xdr:cNvPicPr>
          <a:picLocks noChangeAspect="1"/>
        </xdr:cNvPicPr>
      </xdr:nvPicPr>
      <xdr:blipFill>
        <a:blip xmlns:r="http://schemas.openxmlformats.org/officeDocument/2006/relationships" r:embed="rId5">
          <a:extLst>
            <a:ext uri="{96DAC541-7B7A-43D3-8B79-37D633B846F1}">
              <asvg:svgBlip xmlns:asvg="http://schemas.microsoft.com/office/drawing/2016/SVG/main" r:embed="rId6"/>
            </a:ext>
          </a:extLst>
        </a:blip>
        <a:stretch>
          <a:fillRect/>
        </a:stretch>
      </xdr:blipFill>
      <xdr:spPr>
        <a:xfrm>
          <a:off x="16738600" y="1384300"/>
          <a:ext cx="914400" cy="914400"/>
        </a:xfrm>
        <a:prstGeom prst="rect">
          <a:avLst/>
        </a:prstGeom>
      </xdr:spPr>
    </xdr:pic>
    <xdr:clientData/>
  </xdr:twoCellAnchor>
  <xdr:twoCellAnchor>
    <xdr:from>
      <xdr:col>1</xdr:col>
      <xdr:colOff>762000</xdr:colOff>
      <xdr:row>21</xdr:row>
      <xdr:rowOff>165100</xdr:rowOff>
    </xdr:from>
    <xdr:to>
      <xdr:col>13</xdr:col>
      <xdr:colOff>88900</xdr:colOff>
      <xdr:row>49</xdr:row>
      <xdr:rowOff>114300</xdr:rowOff>
    </xdr:to>
    <xdr:graphicFrame macro="">
      <xdr:nvGraphicFramePr>
        <xdr:cNvPr id="30" name="Chart 29">
          <a:extLst>
            <a:ext uri="{FF2B5EF4-FFF2-40B4-BE49-F238E27FC236}">
              <a16:creationId xmlns:a16="http://schemas.microsoft.com/office/drawing/2014/main" id="{AD52CD76-3F64-D54C-94F4-B15BF9D756DC}"/>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xdr:twoCellAnchor>
    <xdr:from>
      <xdr:col>13</xdr:col>
      <xdr:colOff>330200</xdr:colOff>
      <xdr:row>22</xdr:row>
      <xdr:rowOff>63500</xdr:rowOff>
    </xdr:from>
    <xdr:to>
      <xdr:col>24</xdr:col>
      <xdr:colOff>762000</xdr:colOff>
      <xdr:row>50</xdr:row>
      <xdr:rowOff>12700</xdr:rowOff>
    </xdr:to>
    <xdr:graphicFrame macro="">
      <xdr:nvGraphicFramePr>
        <xdr:cNvPr id="31" name="Chart 30">
          <a:extLst>
            <a:ext uri="{FF2B5EF4-FFF2-40B4-BE49-F238E27FC236}">
              <a16:creationId xmlns:a16="http://schemas.microsoft.com/office/drawing/2014/main" id="{C77C2CEA-98E0-7F4C-9096-15BFAC7DC67C}"/>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8"/>
        </a:graphicData>
      </a:graphic>
    </xdr:graphicFrame>
    <xdr:clientData/>
  </xdr:twoCellAnchor>
  <xdr:twoCellAnchor>
    <xdr:from>
      <xdr:col>15</xdr:col>
      <xdr:colOff>533400</xdr:colOff>
      <xdr:row>8</xdr:row>
      <xdr:rowOff>38100</xdr:rowOff>
    </xdr:from>
    <xdr:to>
      <xdr:col>17</xdr:col>
      <xdr:colOff>25400</xdr:colOff>
      <xdr:row>11</xdr:row>
      <xdr:rowOff>50800</xdr:rowOff>
    </xdr:to>
    <xdr:sp macro="" textlink="'Pivot Table'!$I$4">
      <xdr:nvSpPr>
        <xdr:cNvPr id="32" name="Rectangle 31">
          <a:extLst>
            <a:ext uri="{FF2B5EF4-FFF2-40B4-BE49-F238E27FC236}">
              <a16:creationId xmlns:a16="http://schemas.microsoft.com/office/drawing/2014/main" id="{26DDFDC6-6FBC-B74E-87A0-3ACA6F2E58C9}"/>
            </a:ext>
          </a:extLst>
        </xdr:cNvPr>
        <xdr:cNvSpPr/>
      </xdr:nvSpPr>
      <xdr:spPr>
        <a:xfrm>
          <a:off x="12915900" y="1562100"/>
          <a:ext cx="1143000" cy="584200"/>
        </a:xfrm>
        <a:prstGeom prst="rect">
          <a:avLst/>
        </a:prstGeom>
        <a:no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fld id="{2919ADBC-F7A8-BD4D-A39A-B99266D11E3C}" type="TxLink">
            <a:rPr lang="en-US" sz="3600" b="0" i="0" u="none" strike="noStrike">
              <a:solidFill>
                <a:srgbClr val="00A8AA"/>
              </a:solidFill>
              <a:latin typeface="Calibri"/>
              <a:cs typeface="Calibri"/>
            </a:rPr>
            <a:t>17</a:t>
          </a:fld>
          <a:endParaRPr lang="en-GB" sz="11500">
            <a:solidFill>
              <a:srgbClr val="00A8AA"/>
            </a:solidFill>
          </a:endParaRPr>
        </a:p>
      </xdr:txBody>
    </xdr:sp>
    <xdr:clientData/>
  </xdr:twoCellAnchor>
  <xdr:twoCellAnchor>
    <xdr:from>
      <xdr:col>21</xdr:col>
      <xdr:colOff>711200</xdr:colOff>
      <xdr:row>7</xdr:row>
      <xdr:rowOff>177800</xdr:rowOff>
    </xdr:from>
    <xdr:to>
      <xdr:col>22</xdr:col>
      <xdr:colOff>774700</xdr:colOff>
      <xdr:row>11</xdr:row>
      <xdr:rowOff>88900</xdr:rowOff>
    </xdr:to>
    <xdr:sp macro="" textlink="'Pivot Table'!$J$4">
      <xdr:nvSpPr>
        <xdr:cNvPr id="33" name="Rectangle 32">
          <a:extLst>
            <a:ext uri="{FF2B5EF4-FFF2-40B4-BE49-F238E27FC236}">
              <a16:creationId xmlns:a16="http://schemas.microsoft.com/office/drawing/2014/main" id="{EA56AFB8-11CD-0E4E-884C-FDF323767BB7}"/>
            </a:ext>
          </a:extLst>
        </xdr:cNvPr>
        <xdr:cNvSpPr/>
      </xdr:nvSpPr>
      <xdr:spPr>
        <a:xfrm>
          <a:off x="18046700" y="1511300"/>
          <a:ext cx="889000" cy="673100"/>
        </a:xfrm>
        <a:prstGeom prst="rect">
          <a:avLst/>
        </a:prstGeom>
        <a:no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fld id="{D9B64864-D52A-5C4C-972D-A3193694B421}" type="TxLink">
            <a:rPr lang="en-US" sz="4000" b="0" i="0" u="none" strike="noStrike">
              <a:solidFill>
                <a:srgbClr val="00A8AA"/>
              </a:solidFill>
              <a:latin typeface="Calibri"/>
              <a:cs typeface="Calibri"/>
            </a:rPr>
            <a:t>18</a:t>
          </a:fld>
          <a:endParaRPr lang="en-GB" sz="13800">
            <a:solidFill>
              <a:srgbClr val="00A8AA"/>
            </a:solidFill>
          </a:endParaRPr>
        </a:p>
      </xdr:txBody>
    </xdr:sp>
    <xdr:clientData/>
  </xdr:twoCellAnchor>
  <xdr:twoCellAnchor>
    <xdr:from>
      <xdr:col>9</xdr:col>
      <xdr:colOff>12700</xdr:colOff>
      <xdr:row>8</xdr:row>
      <xdr:rowOff>177800</xdr:rowOff>
    </xdr:from>
    <xdr:to>
      <xdr:col>11</xdr:col>
      <xdr:colOff>215900</xdr:colOff>
      <xdr:row>12</xdr:row>
      <xdr:rowOff>50800</xdr:rowOff>
    </xdr:to>
    <xdr:sp macro="" textlink="'Pivot Table'!$J$8">
      <xdr:nvSpPr>
        <xdr:cNvPr id="36" name="Rectangle 35">
          <a:extLst>
            <a:ext uri="{FF2B5EF4-FFF2-40B4-BE49-F238E27FC236}">
              <a16:creationId xmlns:a16="http://schemas.microsoft.com/office/drawing/2014/main" id="{CED78C44-DF1D-F74D-9D83-D8F300A3BA96}"/>
            </a:ext>
          </a:extLst>
        </xdr:cNvPr>
        <xdr:cNvSpPr/>
      </xdr:nvSpPr>
      <xdr:spPr>
        <a:xfrm>
          <a:off x="7442200" y="1701800"/>
          <a:ext cx="1854200" cy="635000"/>
        </a:xfrm>
        <a:prstGeom prst="rect">
          <a:avLst/>
        </a:prstGeom>
        <a:no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fld id="{BB69C915-9009-4F48-BEB7-D0A61A48B46A}" type="TxLink">
            <a:rPr lang="en-US" sz="3200" b="0" i="0" u="none" strike="noStrike">
              <a:solidFill>
                <a:schemeClr val="bg1"/>
              </a:solidFill>
              <a:latin typeface="Calibri"/>
              <a:cs typeface="Calibri"/>
            </a:rPr>
            <a:t>48.57%</a:t>
          </a:fld>
          <a:endParaRPr lang="en-GB" sz="6000">
            <a:solidFill>
              <a:schemeClr val="bg1"/>
            </a:solidFill>
          </a:endParaRPr>
        </a:p>
      </xdr:txBody>
    </xdr:sp>
    <xdr:clientData/>
  </xdr:twoCellAnchor>
  <xdr:twoCellAnchor editAs="oneCell">
    <xdr:from>
      <xdr:col>7</xdr:col>
      <xdr:colOff>685800</xdr:colOff>
      <xdr:row>7</xdr:row>
      <xdr:rowOff>177800</xdr:rowOff>
    </xdr:from>
    <xdr:to>
      <xdr:col>8</xdr:col>
      <xdr:colOff>774700</xdr:colOff>
      <xdr:row>12</xdr:row>
      <xdr:rowOff>139700</xdr:rowOff>
    </xdr:to>
    <xdr:pic>
      <xdr:nvPicPr>
        <xdr:cNvPr id="37" name="Graphic 36" descr="Male profile with solid fill">
          <a:extLst>
            <a:ext uri="{FF2B5EF4-FFF2-40B4-BE49-F238E27FC236}">
              <a16:creationId xmlns:a16="http://schemas.microsoft.com/office/drawing/2014/main" id="{F516C9B3-DCE5-9048-863D-5894320A0DFB}"/>
            </a:ext>
          </a:extLst>
        </xdr:cNvPr>
        <xdr:cNvPicPr>
          <a:picLocks noChangeAspect="1"/>
        </xdr:cNvPicPr>
      </xdr:nvPicPr>
      <xdr:blipFill>
        <a:blip xmlns:r="http://schemas.openxmlformats.org/officeDocument/2006/relationships" r:embed="rId3">
          <a:extLst>
            <a:ext uri="{96DAC541-7B7A-43D3-8B79-37D633B846F1}">
              <asvg:svgBlip xmlns:asvg="http://schemas.microsoft.com/office/drawing/2016/SVG/main" r:embed="rId4"/>
            </a:ext>
          </a:extLst>
        </a:blip>
        <a:stretch>
          <a:fillRect/>
        </a:stretch>
      </xdr:blipFill>
      <xdr:spPr>
        <a:xfrm>
          <a:off x="6464300" y="1511300"/>
          <a:ext cx="914400" cy="914400"/>
        </a:xfrm>
        <a:prstGeom prst="rect">
          <a:avLst/>
        </a:prstGeom>
      </xdr:spPr>
    </xdr:pic>
    <xdr:clientData/>
  </xdr:twoCellAnchor>
  <xdr:twoCellAnchor editAs="oneCell">
    <xdr:from>
      <xdr:col>25</xdr:col>
      <xdr:colOff>774700</xdr:colOff>
      <xdr:row>8</xdr:row>
      <xdr:rowOff>63500</xdr:rowOff>
    </xdr:from>
    <xdr:to>
      <xdr:col>28</xdr:col>
      <xdr:colOff>571500</xdr:colOff>
      <xdr:row>24</xdr:row>
      <xdr:rowOff>50800</xdr:rowOff>
    </xdr:to>
    <mc:AlternateContent xmlns:mc="http://schemas.openxmlformats.org/markup-compatibility/2006">
      <mc:Choice xmlns:a14="http://schemas.microsoft.com/office/drawing/2010/main" Requires="a14">
        <xdr:graphicFrame macro="">
          <xdr:nvGraphicFramePr>
            <xdr:cNvPr id="38" name="Full/Part Time 1">
              <a:extLst>
                <a:ext uri="{FF2B5EF4-FFF2-40B4-BE49-F238E27FC236}">
                  <a16:creationId xmlns:a16="http://schemas.microsoft.com/office/drawing/2014/main" id="{E8768C05-45EE-1D49-A75E-AC030D09A8CF}"/>
                </a:ext>
              </a:extLst>
            </xdr:cNvPr>
            <xdr:cNvGraphicFramePr/>
          </xdr:nvGraphicFramePr>
          <xdr:xfrm>
            <a:off x="0" y="0"/>
            <a:ext cx="0" cy="0"/>
          </xdr:xfrm>
          <a:graphic>
            <a:graphicData uri="http://schemas.microsoft.com/office/drawing/2010/slicer">
              <sle:slicer xmlns:sle="http://schemas.microsoft.com/office/drawing/2010/slicer" name="Full/Part Time 1"/>
            </a:graphicData>
          </a:graphic>
        </xdr:graphicFrame>
      </mc:Choice>
      <mc:Fallback>
        <xdr:sp macro="" textlink="">
          <xdr:nvSpPr>
            <xdr:cNvPr id="0" name=""/>
            <xdr:cNvSpPr>
              <a:spLocks noTextEdit="1"/>
            </xdr:cNvSpPr>
          </xdr:nvSpPr>
          <xdr:spPr>
            <a:xfrm>
              <a:off x="21412200" y="1587500"/>
              <a:ext cx="2273300" cy="3035300"/>
            </a:xfrm>
            <a:prstGeom prst="rect">
              <a:avLst/>
            </a:prstGeom>
            <a:solidFill>
              <a:prstClr val="white"/>
            </a:solidFill>
            <a:ln w="1">
              <a:solidFill>
                <a:prstClr val="green"/>
              </a:solidFill>
            </a:ln>
          </xdr:spPr>
          <xdr:txBody>
            <a:bodyPr vertOverflow="clip" horzOverflow="clip"/>
            <a:lstStyle/>
            <a:p>
              <a:r>
                <a:rPr lang="en-GB"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26</xdr:col>
      <xdr:colOff>0</xdr:colOff>
      <xdr:row>31</xdr:row>
      <xdr:rowOff>152400</xdr:rowOff>
    </xdr:from>
    <xdr:to>
      <xdr:col>28</xdr:col>
      <xdr:colOff>635000</xdr:colOff>
      <xdr:row>48</xdr:row>
      <xdr:rowOff>15869</xdr:rowOff>
    </xdr:to>
    <mc:AlternateContent xmlns:mc="http://schemas.openxmlformats.org/markup-compatibility/2006">
      <mc:Choice xmlns:a14="http://schemas.microsoft.com/office/drawing/2010/main" Requires="a14">
        <xdr:graphicFrame macro="">
          <xdr:nvGraphicFramePr>
            <xdr:cNvPr id="39" name="Department 1">
              <a:extLst>
                <a:ext uri="{FF2B5EF4-FFF2-40B4-BE49-F238E27FC236}">
                  <a16:creationId xmlns:a16="http://schemas.microsoft.com/office/drawing/2014/main" id="{B81C6772-DC03-904C-B7D0-2DDA1C35E558}"/>
                </a:ext>
              </a:extLst>
            </xdr:cNvPr>
            <xdr:cNvGraphicFramePr/>
          </xdr:nvGraphicFramePr>
          <xdr:xfrm>
            <a:off x="0" y="0"/>
            <a:ext cx="0" cy="0"/>
          </xdr:xfrm>
          <a:graphic>
            <a:graphicData uri="http://schemas.microsoft.com/office/drawing/2010/slicer">
              <sle:slicer xmlns:sle="http://schemas.microsoft.com/office/drawing/2010/slicer" name="Department 1"/>
            </a:graphicData>
          </a:graphic>
        </xdr:graphicFrame>
      </mc:Choice>
      <mc:Fallback>
        <xdr:sp macro="" textlink="">
          <xdr:nvSpPr>
            <xdr:cNvPr id="0" name=""/>
            <xdr:cNvSpPr>
              <a:spLocks noTextEdit="1"/>
            </xdr:cNvSpPr>
          </xdr:nvSpPr>
          <xdr:spPr>
            <a:xfrm>
              <a:off x="21463000" y="6057900"/>
              <a:ext cx="2286000" cy="3101969"/>
            </a:xfrm>
            <a:prstGeom prst="rect">
              <a:avLst/>
            </a:prstGeom>
            <a:solidFill>
              <a:prstClr val="white"/>
            </a:solidFill>
            <a:ln w="1">
              <a:solidFill>
                <a:prstClr val="green"/>
              </a:solidFill>
            </a:ln>
          </xdr:spPr>
          <xdr:txBody>
            <a:bodyPr vertOverflow="clip" horzOverflow="clip"/>
            <a:lstStyle/>
            <a:p>
              <a:r>
                <a:rPr lang="en-GB"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xdr:from>
      <xdr:col>0</xdr:col>
      <xdr:colOff>381000</xdr:colOff>
      <xdr:row>24</xdr:row>
      <xdr:rowOff>114300</xdr:rowOff>
    </xdr:from>
    <xdr:to>
      <xdr:col>1</xdr:col>
      <xdr:colOff>330200</xdr:colOff>
      <xdr:row>31</xdr:row>
      <xdr:rowOff>25400</xdr:rowOff>
    </xdr:to>
    <xdr:sp macro="[1]!Clear_filter" textlink="">
      <xdr:nvSpPr>
        <xdr:cNvPr id="42" name="Oval 41">
          <a:extLst>
            <a:ext uri="{FF2B5EF4-FFF2-40B4-BE49-F238E27FC236}">
              <a16:creationId xmlns:a16="http://schemas.microsoft.com/office/drawing/2014/main" id="{5EFA22C8-BA68-D1C1-FA0B-DFE4CD95A051}"/>
            </a:ext>
          </a:extLst>
        </xdr:cNvPr>
        <xdr:cNvSpPr/>
      </xdr:nvSpPr>
      <xdr:spPr>
        <a:xfrm>
          <a:off x="381000" y="4686300"/>
          <a:ext cx="774700" cy="1244600"/>
        </a:xfrm>
        <a:prstGeom prst="ellipse">
          <a:avLst/>
        </a:prstGeom>
        <a:solidFill>
          <a:schemeClr val="accent6">
            <a:lumMod val="60000"/>
            <a:lumOff val="40000"/>
          </a:schemeClr>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en-GB" sz="1100"/>
            <a:t>RESET</a:t>
          </a:r>
        </a:p>
      </xdr:txBody>
    </xdr:sp>
    <xdr:clientData/>
  </xdr:twoCellAnchor>
  <xdr:twoCellAnchor editAs="oneCell">
    <xdr:from>
      <xdr:col>0</xdr:col>
      <xdr:colOff>533400</xdr:colOff>
      <xdr:row>27</xdr:row>
      <xdr:rowOff>114300</xdr:rowOff>
    </xdr:from>
    <xdr:to>
      <xdr:col>1</xdr:col>
      <xdr:colOff>241300</xdr:colOff>
      <xdr:row>30</xdr:row>
      <xdr:rowOff>38100</xdr:rowOff>
    </xdr:to>
    <xdr:pic>
      <xdr:nvPicPr>
        <xdr:cNvPr id="46" name="Graphic 45" descr="Arrow circle with solid fill">
          <a:extLst>
            <a:ext uri="{FF2B5EF4-FFF2-40B4-BE49-F238E27FC236}">
              <a16:creationId xmlns:a16="http://schemas.microsoft.com/office/drawing/2014/main" id="{ED7C5417-64B7-EB4E-E668-91AF4DA2944F}"/>
            </a:ext>
          </a:extLst>
        </xdr:cNvPr>
        <xdr:cNvPicPr>
          <a:picLocks noChangeAspect="1"/>
        </xdr:cNvPicPr>
      </xdr:nvPicPr>
      <xdr:blipFill>
        <a:blip xmlns:r="http://schemas.openxmlformats.org/officeDocument/2006/relationships" r:embed="rId9">
          <a:extLst>
            <a:ext uri="{96DAC541-7B7A-43D3-8B79-37D633B846F1}">
              <asvg:svgBlip xmlns:asvg="http://schemas.microsoft.com/office/drawing/2016/SVG/main" r:embed="rId10"/>
            </a:ext>
          </a:extLst>
        </a:blip>
        <a:stretch>
          <a:fillRect/>
        </a:stretch>
      </xdr:blipFill>
      <xdr:spPr>
        <a:xfrm>
          <a:off x="533400" y="5257800"/>
          <a:ext cx="533400" cy="495300"/>
        </a:xfrm>
        <a:prstGeom prst="rect">
          <a:avLst/>
        </a:prstGeom>
      </xdr:spPr>
    </xdr:pic>
    <xdr:clientData/>
  </xdr:twoCellAnchor>
</xdr:wsDr>
</file>

<file path=xl/externalLinks/_rels/externalLink1.xml.rels><?xml version="1.0" encoding="UTF-8" standalone="yes"?>
<Relationships xmlns="http://schemas.openxmlformats.org/package/2006/relationships"><Relationship Id="rId3" Type="http://schemas.openxmlformats.org/officeDocument/2006/relationships/externalLinkPath" Target="../../../../HR-Employee-Overview-Dashboard-Excel.xlsm" TargetMode="External"/><Relationship Id="rId2" Type="http://schemas.openxmlformats.org/officeDocument/2006/relationships/externalLinkPath" Target="/Users/nayan/Downloads/HR-Employee-Overview-Dashboard-Excel.xlsm" TargetMode="External"/><Relationship Id="rId1" Type="http://schemas.openxmlformats.org/officeDocument/2006/relationships/externalLinkPath" Target="/Users/nayan/Downloads/HR-Employee-Overview-Dashboard-Excel.xlsm"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xxl21:alternateUrls>
      <xxl21:absoluteUrl r:id="rId2"/>
      <xxl21:relativeUrl r:id="rId3"/>
    </xxl21:alternateUrls>
    <sheetNames>
      <sheetName val="Sheet1"/>
      <sheetName val="Pivot_data"/>
      <sheetName val="Dashboard"/>
    </sheetNames>
    <definedNames>
      <definedName name="Clear_filter"/>
    </definedNames>
    <sheetDataSet>
      <sheetData sheetId="0"/>
      <sheetData sheetId="1"/>
      <sheetData sheetId="2"/>
    </sheetDataSet>
  </externalBook>
</externalLink>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pivotCacheDefinition1.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Nayan" refreshedDate="46065.774238773149" createdVersion="8" refreshedVersion="8" minRefreshableVersion="3" recordCount="35" xr:uid="{994EF995-A155-C04C-BB8D-3604B804D694}">
  <cacheSource type="worksheet">
    <worksheetSource ref="A3:M38" sheet="HR Data"/>
  </cacheSource>
  <cacheFields count="13">
    <cacheField name="Emp No." numFmtId="0">
      <sharedItems containsSemiMixedTypes="0" containsString="0" containsNumber="1" containsInteger="1" minValue="1001" maxValue="1253"/>
    </cacheField>
    <cacheField name="Full/Part Time" numFmtId="0">
      <sharedItems count="2">
        <s v="F"/>
        <s v="P"/>
      </sharedItems>
    </cacheField>
    <cacheField name="Emp ID" numFmtId="0">
      <sharedItems/>
    </cacheField>
    <cacheField name="Last Name" numFmtId="0">
      <sharedItems/>
    </cacheField>
    <cacheField name="First Name" numFmtId="0">
      <sharedItems count="33">
        <s v="Stevie"/>
        <s v="Adam"/>
        <s v="Connor"/>
        <s v="Fred"/>
        <s v="Yvette"/>
        <s v="Jim"/>
        <s v="Charlie"/>
        <s v="Barbara"/>
        <s v="Joe"/>
        <s v="Samantha"/>
        <s v="Uma"/>
        <s v="Elizabeth"/>
        <s v="Eric"/>
        <s v="ANNA"/>
        <s v="Sabrina"/>
        <s v="Janet"/>
        <s v="Bob"/>
        <s v="Tina"/>
        <s v="Alexandra"/>
        <s v="Mark"/>
        <s v="Nicholas"/>
        <s v="Mary"/>
        <s v="Susan"/>
        <s v="Daniel"/>
        <s v="Leighton"/>
        <s v="Phoebe"/>
        <s v="Mihael"/>
        <s v="Sean"/>
        <s v="Preston"/>
        <s v="Natasha"/>
        <s v="Radhya"/>
        <s v="Mei"/>
        <s v="Aanya"/>
      </sharedItems>
    </cacheField>
    <cacheField name="Full Name" numFmtId="0">
      <sharedItems/>
    </cacheField>
    <cacheField name="Email" numFmtId="0">
      <sharedItems/>
    </cacheField>
    <cacheField name="Date of Hire" numFmtId="14">
      <sharedItems containsSemiMixedTypes="0" containsNonDate="0" containsDate="1" containsString="0" minDate="2001-02-01T00:00:00" maxDate="2017-06-20T00:00:00"/>
    </cacheField>
    <cacheField name="Department" numFmtId="0">
      <sharedItems count="7">
        <s v="Sales"/>
        <s v="Customer Service"/>
        <s v="Human Resources"/>
        <s v="Accounting"/>
        <s v="Executive"/>
        <s v="Facilities"/>
        <s v="IT"/>
      </sharedItems>
    </cacheField>
    <cacheField name="Location" numFmtId="0">
      <sharedItems/>
    </cacheField>
    <cacheField name="Floor No." numFmtId="0">
      <sharedItems/>
    </cacheField>
    <cacheField name="Wing" numFmtId="0">
      <sharedItems/>
    </cacheField>
    <cacheField name="Extension " numFmtId="0">
      <sharedItems/>
    </cacheField>
  </cacheFields>
  <extLst>
    <ext xmlns:x14="http://schemas.microsoft.com/office/spreadsheetml/2009/9/main" uri="{725AE2AE-9491-48be-B2B4-4EB974FC3084}">
      <x14:pivotCacheDefinition pivotCacheId="653467805"/>
    </ext>
    <ext xmlns:xlpar="http://schemas.microsoft.com/office/spreadsheetml/2024/pivotAutoRefresh" uri="{DA1E1B2C-A1EE-400B-A0BD-712935E3C959}">
      <xlpar:autoRefresh>1</xlpar:autoRefresh>
    </ext>
  </extLst>
</pivotCacheDefinition>
</file>

<file path=xl/pivotCache/pivotCacheRecords1.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35">
  <r>
    <n v="1180"/>
    <x v="0"/>
    <s v="F1180"/>
    <s v="Bacata"/>
    <x v="0"/>
    <s v="Stevie Bacata"/>
    <s v="sbacata1180@zenco.com"/>
    <d v="2008-04-13T00:00:00"/>
    <x v="0"/>
    <s v="02-West-2635 "/>
    <s v="02"/>
    <s v="West"/>
    <s v="2635 "/>
  </r>
  <r>
    <n v="1110"/>
    <x v="0"/>
    <s v="F1110"/>
    <s v="BARRY"/>
    <x v="1"/>
    <s v="Adam Barry"/>
    <s v="abarry1110@zenco.com"/>
    <d v="2004-04-22T00:00:00"/>
    <x v="1"/>
    <s v="02-West-2018 "/>
    <s v="02"/>
    <s v="West"/>
    <s v="2018 "/>
  </r>
  <r>
    <n v="1232"/>
    <x v="0"/>
    <s v="F1232"/>
    <s v="Betts"/>
    <x v="2"/>
    <s v="Connor Betts"/>
    <s v="cbetts1232@zenco.com"/>
    <d v="2014-11-13T00:00:00"/>
    <x v="0"/>
    <s v="02-NorthEast-2347 "/>
    <s v="02"/>
    <s v="North"/>
    <s v="2347 "/>
  </r>
  <r>
    <n v="1243"/>
    <x v="1"/>
    <s v="P1243"/>
    <s v="BINGA"/>
    <x v="3"/>
    <s v="Fred Binga"/>
    <s v="fbinga1243@zenco.com"/>
    <d v="2015-08-13T00:00:00"/>
    <x v="2"/>
    <s v="03-West-2764 "/>
    <s v="03"/>
    <s v="West"/>
    <s v="2764 "/>
  </r>
  <r>
    <n v="1248"/>
    <x v="1"/>
    <s v="P1248"/>
    <s v="Biti"/>
    <x v="4"/>
    <s v="Yvette Biti"/>
    <s v="ybiti1248@zenco.com"/>
    <d v="2016-01-15T00:00:00"/>
    <x v="0"/>
    <s v="02-West-2589 _x001f_"/>
    <s v="02"/>
    <s v="West"/>
    <s v="589 _x001f_"/>
  </r>
  <r>
    <n v="1227"/>
    <x v="1"/>
    <s v="P1227"/>
    <s v="BOLLER"/>
    <x v="5"/>
    <s v="Jim Boller"/>
    <s v="jboller1227@zenco.com"/>
    <d v="2014-09-11T00:00:00"/>
    <x v="3"/>
    <s v="03-East-2318 "/>
    <s v="03"/>
    <s v="East"/>
    <s v="2318 "/>
  </r>
  <r>
    <n v="1230"/>
    <x v="1"/>
    <s v="P1230"/>
    <s v="Bui"/>
    <x v="6"/>
    <s v="Charlie Bui"/>
    <s v="cbui1230@zenco.com"/>
    <d v="2014-09-21T00:00:00"/>
    <x v="0"/>
    <s v="02-East-2694 "/>
    <s v="02"/>
    <s v="East"/>
    <s v="2694 "/>
  </r>
  <r>
    <n v="1162"/>
    <x v="0"/>
    <s v="F1162"/>
    <s v="Carlton"/>
    <x v="7"/>
    <s v="Barbara Carlton"/>
    <s v="bcarlton1162@zenco.com"/>
    <d v="2006-03-22T00:00:00"/>
    <x v="0"/>
    <s v="02-West-2699 "/>
    <s v="02"/>
    <s v="West"/>
    <s v="2699 "/>
  </r>
  <r>
    <n v="1001"/>
    <x v="1"/>
    <s v="P1001"/>
    <s v="CAROL"/>
    <x v="8"/>
    <s v="Joe Carol"/>
    <s v="jcarol1001@zenco.com"/>
    <d v="2001-02-01T00:00:00"/>
    <x v="4"/>
    <s v="01-East-2321 "/>
    <s v="01"/>
    <s v="East"/>
    <s v="2321 "/>
  </r>
  <r>
    <n v="1224"/>
    <x v="0"/>
    <s v="F1224"/>
    <s v="CHAFFEE"/>
    <x v="5"/>
    <s v="Jim Chaffee"/>
    <s v="jchaffee1224@zenco.com"/>
    <d v="2014-05-28T00:00:00"/>
    <x v="5"/>
    <s v="03-West-2432 "/>
    <s v="03"/>
    <s v="West"/>
    <s v="2432 "/>
  </r>
  <r>
    <n v="1203"/>
    <x v="1"/>
    <s v="P1203"/>
    <s v="Chairs"/>
    <x v="9"/>
    <s v="Samantha Chairs"/>
    <s v="schairs1203@zenco.com"/>
    <d v="2011-02-21T00:00:00"/>
    <x v="0"/>
    <s v="02-West-2962 "/>
    <s v="02"/>
    <s v="West"/>
    <s v="2962 "/>
  </r>
  <r>
    <n v="1211"/>
    <x v="1"/>
    <s v="P1211"/>
    <s v="CHAUDRI"/>
    <x v="10"/>
    <s v="Uma Chaudri"/>
    <s v="uchaudri1211@zenco.com"/>
    <d v="2012-03-26T00:00:00"/>
    <x v="2"/>
    <s v="03-East-2134 _x001f_"/>
    <s v="03"/>
    <s v="East"/>
    <s v="134 _x001f_"/>
  </r>
  <r>
    <n v="1198"/>
    <x v="1"/>
    <s v="P1198"/>
    <s v="CHU"/>
    <x v="11"/>
    <s v="Elizabeth Chu"/>
    <s v="echu1198@zenco.com"/>
    <d v="2010-02-11T00:00:00"/>
    <x v="6"/>
    <s v="01-West-2425 "/>
    <s v="01"/>
    <s v="West"/>
    <s v="2425 "/>
  </r>
  <r>
    <n v="1003"/>
    <x v="0"/>
    <s v="F1003"/>
    <s v="CHUNG"/>
    <x v="12"/>
    <s v="Eric Chung"/>
    <s v="echung1003@zenco.com"/>
    <d v="2001-02-27T00:00:00"/>
    <x v="6"/>
    <s v="03-West-2796 "/>
    <s v="03"/>
    <s v="West"/>
    <s v="2796 "/>
  </r>
  <r>
    <n v="1235"/>
    <x v="0"/>
    <s v="F1235"/>
    <s v="CLARK"/>
    <x v="13"/>
    <s v="Anna Clark"/>
    <s v="aclark1235@zenco.com"/>
    <d v="2014-12-16T00:00:00"/>
    <x v="3"/>
    <s v="03-West-2601 "/>
    <s v="03"/>
    <s v="West"/>
    <s v="2601 "/>
  </r>
  <r>
    <n v="1253"/>
    <x v="1"/>
    <s v="P1253"/>
    <s v="CLARK"/>
    <x v="11"/>
    <s v="Elizabeth Clark"/>
    <s v="eclark1253@zenco.com"/>
    <d v="2017-06-19T00:00:00"/>
    <x v="1"/>
    <s v="02-NorthEast-2414 "/>
    <s v="02"/>
    <s v="North"/>
    <s v="2414 "/>
  </r>
  <r>
    <n v="1221"/>
    <x v="1"/>
    <s v="P1221"/>
    <s v="COLE"/>
    <x v="14"/>
    <s v="Sabrina Cole"/>
    <s v="scole1221@zenco.com"/>
    <d v="2013-05-07T00:00:00"/>
    <x v="1"/>
    <s v="02-West-2537 "/>
    <s v="02"/>
    <s v="West"/>
    <s v="2537 "/>
  </r>
  <r>
    <n v="1186"/>
    <x v="0"/>
    <s v="F1186"/>
    <s v="COMUNTZIS"/>
    <x v="15"/>
    <s v="Janet Comuntzis"/>
    <s v="jcomuntzis1186@zenco.com"/>
    <d v="2008-08-26T00:00:00"/>
    <x v="1"/>
    <s v="02-West-2286 "/>
    <s v="02"/>
    <s v="West"/>
    <s v="2286 "/>
  </r>
  <r>
    <n v="1218"/>
    <x v="1"/>
    <s v="P1218"/>
    <s v="DECKER"/>
    <x v="16"/>
    <s v="Bob Decker"/>
    <s v="bdecker1218@zenco.com"/>
    <d v="2012-10-28T00:00:00"/>
    <x v="6"/>
    <s v="01-East-2086 _x001f_"/>
    <s v="01"/>
    <s v="East"/>
    <s v="086 _x001f_"/>
  </r>
  <r>
    <n v="1215"/>
    <x v="0"/>
    <s v="F1215"/>
    <s v="DESIATO"/>
    <x v="17"/>
    <s v="Tina Desiato"/>
    <s v="tdesiato1215@zenco.com"/>
    <d v="2012-09-23T00:00:00"/>
    <x v="6"/>
    <s v="01-East-2358 "/>
    <s v="01"/>
    <s v="East"/>
    <s v="2358 "/>
  </r>
  <r>
    <n v="1241"/>
    <x v="1"/>
    <s v="P1241"/>
    <s v="DONNELL"/>
    <x v="18"/>
    <s v="Alexandra Donnell"/>
    <s v="adonnell1241@zenco.com"/>
    <d v="2015-08-12T00:00:00"/>
    <x v="3"/>
    <s v="03-West-2082 "/>
    <s v="03"/>
    <s v="West"/>
    <s v="2082 "/>
  </r>
  <r>
    <n v="1246"/>
    <x v="0"/>
    <s v="F1246"/>
    <s v="ELLIS"/>
    <x v="19"/>
    <s v="Mark Ellis"/>
    <s v="mellis1246@zenco.com"/>
    <d v="2016-01-02T00:00:00"/>
    <x v="6"/>
    <s v="03-NorthEast-2482 "/>
    <s v="03"/>
    <s v="North"/>
    <s v="2482 "/>
  </r>
  <r>
    <n v="1172"/>
    <x v="0"/>
    <s v="F1172"/>
    <s v="Fernandes"/>
    <x v="20"/>
    <s v="Nicholas Fernandes"/>
    <s v="nfernandes1172@zenco.com"/>
    <d v="2006-11-02T00:00:00"/>
    <x v="3"/>
    <s v="02-East-2372 "/>
    <s v="02"/>
    <s v="East"/>
    <s v="2372 "/>
  </r>
  <r>
    <n v="1134"/>
    <x v="0"/>
    <s v="F1134"/>
    <s v="FERRIS"/>
    <x v="21"/>
    <s v="Mary Ferris"/>
    <s v="mferris1134@zenco.com"/>
    <d v="2005-07-15T00:00:00"/>
    <x v="0"/>
    <s v="03-East-2392 "/>
    <s v="03"/>
    <s v="East"/>
    <s v="2392 "/>
  </r>
  <r>
    <n v="1150"/>
    <x v="0"/>
    <s v="F1150"/>
    <s v="FILOSA"/>
    <x v="22"/>
    <s v="Susan Filosa"/>
    <s v="sfilosa1150@zenco.com"/>
    <d v="2006-01-27T00:00:00"/>
    <x v="1"/>
    <s v="02-West-2279 "/>
    <s v="02"/>
    <s v="West"/>
    <s v="2279 "/>
  </r>
  <r>
    <n v="1004"/>
    <x v="1"/>
    <s v="P1004"/>
    <s v="FLANDERS"/>
    <x v="23"/>
    <s v="Daniel Flanders"/>
    <s v="dflanders1004@zenco.com"/>
    <d v="2002-09-11T00:00:00"/>
    <x v="0"/>
    <s v="02-East-2639 "/>
    <s v="02"/>
    <s v="East"/>
    <s v="2639 "/>
  </r>
  <r>
    <n v="1239"/>
    <x v="0"/>
    <s v="F1239"/>
    <s v="Forrest"/>
    <x v="24"/>
    <s v="Leighton Forrest"/>
    <s v="lforrest1239@zenco.com"/>
    <d v="2015-04-26T00:00:00"/>
    <x v="0"/>
    <s v="02-East-2284 "/>
    <s v="02"/>
    <s v="East"/>
    <s v="2284 "/>
  </r>
  <r>
    <n v="1250"/>
    <x v="0"/>
    <s v="F1250"/>
    <s v="Gour"/>
    <x v="25"/>
    <s v="Phoebe Gour"/>
    <s v="pgour1250@zenco.com"/>
    <d v="2016-12-17T00:00:00"/>
    <x v="0"/>
    <s v="02-East-2910 "/>
    <s v="02"/>
    <s v="East"/>
    <s v="2910 "/>
  </r>
  <r>
    <n v="1192"/>
    <x v="1"/>
    <s v="P1192"/>
    <s v="Khan"/>
    <x v="26"/>
    <s v="Mihael Khan"/>
    <s v="mkhan1192@zenco.com"/>
    <d v="2009-12-13T00:00:00"/>
    <x v="0"/>
    <s v="02-NorthEast-2294 "/>
    <s v="02"/>
    <s v="North"/>
    <s v="2294 "/>
  </r>
  <r>
    <n v="1249"/>
    <x v="1"/>
    <s v="P1249"/>
    <s v="SANDERS"/>
    <x v="27"/>
    <s v="Sean Sanders"/>
    <s v="ssanders1249@zenco.com"/>
    <d v="2016-11-17T00:00:00"/>
    <x v="2"/>
    <s v="03-West-2765 "/>
    <s v="03"/>
    <s v="West"/>
    <s v="2765 "/>
  </r>
  <r>
    <n v="1245"/>
    <x v="1"/>
    <s v="P1245"/>
    <s v="Senome"/>
    <x v="28"/>
    <s v="Preston Senome"/>
    <s v="psenome1245@zenco.com"/>
    <d v="2015-11-16T00:00:00"/>
    <x v="0"/>
    <s v="02-East-2260 "/>
    <s v="02"/>
    <s v="East"/>
    <s v="2260 "/>
  </r>
  <r>
    <n v="1207"/>
    <x v="1"/>
    <s v="P1207"/>
    <s v="Song"/>
    <x v="29"/>
    <s v="Natasha Song"/>
    <s v="nsong1207@zenco.com"/>
    <d v="2011-06-19T00:00:00"/>
    <x v="0"/>
    <s v="02-East-2578 "/>
    <s v="02"/>
    <s v="East"/>
    <s v="2578 "/>
  </r>
  <r>
    <n v="1244"/>
    <x v="1"/>
    <s v="P1244"/>
    <s v="Staples"/>
    <x v="30"/>
    <s v="Radhya Staples"/>
    <s v="rstaples1244@zenco.com"/>
    <d v="2015-11-13T00:00:00"/>
    <x v="0"/>
    <s v="02-East-2654 "/>
    <s v="02"/>
    <s v="East"/>
    <s v="2654 "/>
  </r>
  <r>
    <n v="1252"/>
    <x v="0"/>
    <s v="F1252"/>
    <s v="WANG"/>
    <x v="31"/>
    <s v="Mei Wang"/>
    <s v="mwang1252@zenco.com"/>
    <d v="2010-01-10T00:00:00"/>
    <x v="4"/>
    <s v="01-West-2783 "/>
    <s v="01"/>
    <s v="West"/>
    <s v="2783 "/>
  </r>
  <r>
    <n v="1237"/>
    <x v="0"/>
    <s v="F1237"/>
    <s v="Zhang"/>
    <x v="32"/>
    <s v="Aanya Zhang"/>
    <s v="azhang1237@zenco.com"/>
    <d v="2014-12-29T00:00:00"/>
    <x v="0"/>
    <s v="02-East-2793 "/>
    <s v="02"/>
    <s v="East"/>
    <s v="2793 "/>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2.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3.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pivotTable1.xml><?xml version="1.0" encoding="utf-8"?>
<pivotTableDefinition xmlns="http://schemas.openxmlformats.org/spreadsheetml/2006/main" xmlns:mc="http://schemas.openxmlformats.org/markup-compatibility/2006" xmlns:xr="http://schemas.microsoft.com/office/spreadsheetml/2014/revision" mc:Ignorable="xr" xr:uid="{8DD8C767-173C-CB4F-8239-2984851B5DFD}" name="PivotTable2" cacheId="1" applyNumberFormats="0" applyBorderFormats="0" applyFontFormats="0" applyPatternFormats="0" applyAlignmentFormats="0" applyWidthHeightFormats="1" dataCaption="Values" updatedVersion="8" minRefreshableVersion="3" useAutoFormatting="1" itemPrintTitles="1" createdVersion="8" indent="0" multipleFieldFilters="0" chartFormat="20">
  <location ref="F3:G6" firstHeaderRow="1" firstDataRow="1" firstDataCol="1"/>
  <pivotFields count="13">
    <pivotField showAll="0"/>
    <pivotField axis="axisRow" showAll="0">
      <items count="3">
        <item x="0"/>
        <item x="1"/>
        <item t="default"/>
      </items>
    </pivotField>
    <pivotField showAll="0"/>
    <pivotField showAll="0"/>
    <pivotField showAll="0"/>
    <pivotField dataField="1" showAll="0"/>
    <pivotField showAll="0"/>
    <pivotField numFmtId="14" showAll="0"/>
    <pivotField showAll="0">
      <items count="8">
        <item x="3"/>
        <item x="1"/>
        <item x="4"/>
        <item x="5"/>
        <item x="2"/>
        <item x="6"/>
        <item x="0"/>
        <item t="default"/>
      </items>
    </pivotField>
    <pivotField showAll="0"/>
    <pivotField showAll="0"/>
    <pivotField showAll="0"/>
    <pivotField showAll="0"/>
  </pivotFields>
  <rowFields count="1">
    <field x="1"/>
  </rowFields>
  <rowItems count="3">
    <i>
      <x/>
    </i>
    <i>
      <x v="1"/>
    </i>
    <i t="grand">
      <x/>
    </i>
  </rowItems>
  <colItems count="1">
    <i/>
  </colItems>
  <dataFields count="1">
    <dataField name="Count of Full Name" fld="5" subtotal="count" baseField="0" baseItem="0"/>
  </dataFields>
  <chartFormats count="6">
    <chartFormat chart="0" format="0" series="1">
      <pivotArea type="data" outline="0" fieldPosition="0">
        <references count="1">
          <reference field="4294967294" count="1" selected="0">
            <x v="0"/>
          </reference>
        </references>
      </pivotArea>
    </chartFormat>
    <chartFormat chart="3" format="0" series="1">
      <pivotArea type="data" outline="0" fieldPosition="0">
        <references count="1">
          <reference field="4294967294" count="1" selected="0">
            <x v="0"/>
          </reference>
        </references>
      </pivotArea>
    </chartFormat>
    <chartFormat chart="9" format="0" series="1">
      <pivotArea type="data" outline="0" fieldPosition="0">
        <references count="1">
          <reference field="4294967294" count="1" selected="0">
            <x v="0"/>
          </reference>
        </references>
      </pivotArea>
    </chartFormat>
    <chartFormat chart="6" format="7" series="1">
      <pivotArea type="data" outline="0" fieldPosition="0">
        <references count="1">
          <reference field="4294967294" count="1" selected="0">
            <x v="0"/>
          </reference>
        </references>
      </pivotArea>
    </chartFormat>
    <chartFormat chart="6" format="8">
      <pivotArea type="data" outline="0" fieldPosition="0">
        <references count="2">
          <reference field="4294967294" count="1" selected="0">
            <x v="0"/>
          </reference>
          <reference field="1" count="1" selected="0">
            <x v="0"/>
          </reference>
        </references>
      </pivotArea>
    </chartFormat>
    <chartFormat chart="6" format="9">
      <pivotArea type="data" outline="0" fieldPosition="0">
        <references count="2">
          <reference field="4294967294" count="1" selected="0">
            <x v="0"/>
          </reference>
          <reference field="1" count="1" selected="0">
            <x v="1"/>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2.xml><?xml version="1.0" encoding="utf-8"?>
<pivotTableDefinition xmlns="http://schemas.openxmlformats.org/spreadsheetml/2006/main" xmlns:mc="http://schemas.openxmlformats.org/markup-compatibility/2006" xmlns:xr="http://schemas.microsoft.com/office/spreadsheetml/2014/revision" mc:Ignorable="xr" xr:uid="{9534F4C5-FED0-D948-B325-FFD29C4DFB11}" name="PivotTable1" cacheId="1" applyNumberFormats="0" applyBorderFormats="0" applyFontFormats="0" applyPatternFormats="0" applyAlignmentFormats="0" applyWidthHeightFormats="1" dataCaption="Values" updatedVersion="8" minRefreshableVersion="3" useAutoFormatting="1" itemPrintTitles="1" createdVersion="8" indent="0" multipleFieldFilters="0">
  <location ref="A3:B37" firstHeaderRow="1" firstDataRow="1" firstDataCol="1"/>
  <pivotFields count="13">
    <pivotField showAll="0"/>
    <pivotField showAll="0">
      <items count="3">
        <item x="0"/>
        <item x="1"/>
        <item t="default"/>
      </items>
    </pivotField>
    <pivotField showAll="0"/>
    <pivotField showAll="0"/>
    <pivotField axis="axisRow" showAll="0">
      <items count="34">
        <item x="32"/>
        <item x="1"/>
        <item x="18"/>
        <item x="13"/>
        <item x="7"/>
        <item x="16"/>
        <item x="6"/>
        <item x="2"/>
        <item x="23"/>
        <item x="11"/>
        <item x="12"/>
        <item x="3"/>
        <item x="15"/>
        <item x="5"/>
        <item x="8"/>
        <item x="24"/>
        <item x="19"/>
        <item x="21"/>
        <item x="31"/>
        <item x="26"/>
        <item x="29"/>
        <item x="20"/>
        <item x="25"/>
        <item x="28"/>
        <item x="30"/>
        <item x="14"/>
        <item x="9"/>
        <item x="27"/>
        <item x="0"/>
        <item x="22"/>
        <item x="17"/>
        <item x="10"/>
        <item x="4"/>
        <item t="default"/>
      </items>
    </pivotField>
    <pivotField dataField="1" showAll="0"/>
    <pivotField showAll="0"/>
    <pivotField numFmtId="14" showAll="0"/>
    <pivotField showAll="0">
      <items count="8">
        <item x="3"/>
        <item x="1"/>
        <item x="4"/>
        <item x="5"/>
        <item x="2"/>
        <item x="6"/>
        <item x="0"/>
        <item t="default"/>
      </items>
    </pivotField>
    <pivotField showAll="0"/>
    <pivotField showAll="0"/>
    <pivotField showAll="0"/>
    <pivotField showAll="0"/>
  </pivotFields>
  <rowFields count="1">
    <field x="4"/>
  </rowFields>
  <rowItems count="34">
    <i>
      <x/>
    </i>
    <i>
      <x v="1"/>
    </i>
    <i>
      <x v="2"/>
    </i>
    <i>
      <x v="3"/>
    </i>
    <i>
      <x v="4"/>
    </i>
    <i>
      <x v="5"/>
    </i>
    <i>
      <x v="6"/>
    </i>
    <i>
      <x v="7"/>
    </i>
    <i>
      <x v="8"/>
    </i>
    <i>
      <x v="9"/>
    </i>
    <i>
      <x v="10"/>
    </i>
    <i>
      <x v="11"/>
    </i>
    <i>
      <x v="12"/>
    </i>
    <i>
      <x v="13"/>
    </i>
    <i>
      <x v="14"/>
    </i>
    <i>
      <x v="15"/>
    </i>
    <i>
      <x v="16"/>
    </i>
    <i>
      <x v="17"/>
    </i>
    <i>
      <x v="18"/>
    </i>
    <i>
      <x v="19"/>
    </i>
    <i>
      <x v="20"/>
    </i>
    <i>
      <x v="21"/>
    </i>
    <i>
      <x v="22"/>
    </i>
    <i>
      <x v="23"/>
    </i>
    <i>
      <x v="24"/>
    </i>
    <i>
      <x v="25"/>
    </i>
    <i>
      <x v="26"/>
    </i>
    <i>
      <x v="27"/>
    </i>
    <i>
      <x v="28"/>
    </i>
    <i>
      <x v="29"/>
    </i>
    <i>
      <x v="30"/>
    </i>
    <i>
      <x v="31"/>
    </i>
    <i>
      <x v="32"/>
    </i>
    <i t="grand">
      <x/>
    </i>
  </rowItems>
  <colItems count="1">
    <i/>
  </colItems>
  <dataFields count="1">
    <dataField name="Count of Full Name" fld="5" subtotal="count" baseField="0" baseItem="0"/>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3.xml><?xml version="1.0" encoding="utf-8"?>
<pivotTableDefinition xmlns="http://schemas.openxmlformats.org/spreadsheetml/2006/main" xmlns:mc="http://schemas.openxmlformats.org/markup-compatibility/2006" xmlns:xr="http://schemas.microsoft.com/office/spreadsheetml/2014/revision" mc:Ignorable="xr" xr:uid="{47BDBF9A-3ACE-CC48-956B-2ACDAD46ACD1}" name="PivotTable3" cacheId="1" applyNumberFormats="0" applyBorderFormats="0" applyFontFormats="0" applyPatternFormats="0" applyAlignmentFormats="0" applyWidthHeightFormats="1" dataCaption="Values" updatedVersion="8" minRefreshableVersion="3" useAutoFormatting="1" itemPrintTitles="1" createdVersion="8" indent="0" multipleFieldFilters="0" chartFormat="5">
  <location ref="F11:G19" firstHeaderRow="1" firstDataRow="1" firstDataCol="1"/>
  <pivotFields count="13">
    <pivotField showAll="0"/>
    <pivotField showAll="0">
      <items count="3">
        <item x="0"/>
        <item x="1"/>
        <item t="default"/>
      </items>
    </pivotField>
    <pivotField dataField="1" showAll="0"/>
    <pivotField showAll="0"/>
    <pivotField showAll="0"/>
    <pivotField showAll="0"/>
    <pivotField showAll="0"/>
    <pivotField numFmtId="14" showAll="0"/>
    <pivotField axis="axisRow" showAll="0">
      <items count="8">
        <item x="3"/>
        <item x="1"/>
        <item x="4"/>
        <item x="5"/>
        <item x="2"/>
        <item x="6"/>
        <item x="0"/>
        <item t="default"/>
      </items>
    </pivotField>
    <pivotField showAll="0"/>
    <pivotField showAll="0"/>
    <pivotField showAll="0"/>
    <pivotField showAll="0"/>
  </pivotFields>
  <rowFields count="1">
    <field x="8"/>
  </rowFields>
  <rowItems count="8">
    <i>
      <x/>
    </i>
    <i>
      <x v="1"/>
    </i>
    <i>
      <x v="2"/>
    </i>
    <i>
      <x v="3"/>
    </i>
    <i>
      <x v="4"/>
    </i>
    <i>
      <x v="5"/>
    </i>
    <i>
      <x v="6"/>
    </i>
    <i t="grand">
      <x/>
    </i>
  </rowItems>
  <colItems count="1">
    <i/>
  </colItems>
  <dataFields count="1">
    <dataField name="Count of Emp ID" fld="2" subtotal="count" baseField="0" baseItem="0"/>
  </dataFields>
  <chartFormats count="2">
    <chartFormat chart="0" format="0" series="1">
      <pivotArea type="data" outline="0" fieldPosition="0">
        <references count="1">
          <reference field="4294967294" count="1" selected="0">
            <x v="0"/>
          </reference>
        </references>
      </pivotArea>
    </chartFormat>
    <chartFormat chart="2" format="2" series="1">
      <pivotArea type="data" outline="0" fieldPosition="0">
        <references count="1">
          <reference field="4294967294" count="1" selected="0">
            <x v="0"/>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slicerCaches/slicerCache1.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Full_Part_Time" xr10:uid="{8C3CEF6B-2ED0-3D44-B394-5E449814CE31}" sourceName="Full/Part Time">
  <pivotTables>
    <pivotTable tabId="4" name="PivotTable1"/>
    <pivotTable tabId="4" name="PivotTable2"/>
    <pivotTable tabId="4" name="PivotTable3"/>
  </pivotTables>
  <data>
    <tabular pivotCacheId="653467805">
      <items count="2">
        <i x="0" s="1"/>
        <i x="1" s="1"/>
      </items>
    </tabular>
  </data>
</slicerCacheDefinition>
</file>

<file path=xl/slicerCaches/slicerCache2.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Department" xr10:uid="{4ABAF21A-DCD2-C24E-8544-778432CF9B18}" sourceName="Department">
  <pivotTables>
    <pivotTable tabId="4" name="PivotTable1"/>
    <pivotTable tabId="4" name="PivotTable2"/>
    <pivotTable tabId="4" name="PivotTable3"/>
  </pivotTables>
  <data>
    <tabular pivotCacheId="653467805">
      <items count="7">
        <i x="3" s="1"/>
        <i x="1" s="1"/>
        <i x="4" s="1"/>
        <i x="5" s="1"/>
        <i x="2" s="1"/>
        <i x="6" s="1"/>
        <i x="0" s="1"/>
      </items>
    </tabular>
  </data>
</slicerCacheDefinition>
</file>

<file path=xl/slicers/slicer1.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Full/Part Time" xr10:uid="{F45B1E21-9FB0-C94F-8663-5CC82DF71011}" cache="Slicer_Full_Part_Time" caption="Full/Part Time" rowHeight="230716"/>
  <slicer name="Department" xr10:uid="{7ACC92B8-31BA-1E4C-A436-348D5624E5D9}" cache="Slicer_Department" caption="Department" rowHeight="230716"/>
</slicers>
</file>

<file path=xl/slicers/slicer2.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Full/Part Time 1" xr10:uid="{2CF8D46D-8C75-C546-A1E7-5EDDF37C17FE}" cache="Slicer_Full_Part_Time" caption="Full/Part Time" style="SlicerStyleLight4" rowHeight="230716"/>
  <slicer name="Department 1" xr10:uid="{A4ED526F-13EA-2848-B418-672D3B875EDF}" cache="Slicer_Department" caption="Department" style="SlicerStyleLight5" rowHeight="230716"/>
</slicers>
</file>

<file path=xl/theme/_rels/theme1.xml.rels><?xml version="1.0" encoding="UTF-8" standalone="yes"?>
<Relationships xmlns="http://schemas.openxmlformats.org/package/2006/relationships"><Relationship Id="rId1" Type="http://schemas.openxmlformats.org/officeDocument/2006/relationships/image" Target="../media/image1.jpeg"/></Relationships>
</file>

<file path=xl/theme/theme1.xml><?xml version="1.0" encoding="utf-8"?>
<a:theme xmlns:a="http://schemas.openxmlformats.org/drawingml/2006/main" name="BOC">
  <a:themeElements>
    <a:clrScheme name="BOC2">
      <a:dk1>
        <a:sysClr val="windowText" lastClr="000000"/>
      </a:dk1>
      <a:lt1>
        <a:sysClr val="window" lastClr="FFFFFF"/>
      </a:lt1>
      <a:dk2>
        <a:srgbClr val="44546A"/>
      </a:dk2>
      <a:lt2>
        <a:srgbClr val="E7E6E6"/>
      </a:lt2>
      <a:accent1>
        <a:srgbClr val="B30738"/>
      </a:accent1>
      <a:accent2>
        <a:srgbClr val="A5A5A5"/>
      </a:accent2>
      <a:accent3>
        <a:srgbClr val="595959"/>
      </a:accent3>
      <a:accent4>
        <a:srgbClr val="4472C4"/>
      </a:accent4>
      <a:accent5>
        <a:srgbClr val="5B9BD5"/>
      </a:accent5>
      <a:accent6>
        <a:srgbClr val="8B1324"/>
      </a:accent6>
      <a:hlink>
        <a:srgbClr val="4472C4"/>
      </a:hlink>
      <a:folHlink>
        <a:srgbClr val="4472C4"/>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Integral">
      <a:fillStyleLst>
        <a:solidFill>
          <a:schemeClr val="phClr"/>
        </a:solidFill>
        <a:gradFill rotWithShape="1">
          <a:gsLst>
            <a:gs pos="0">
              <a:schemeClr val="phClr">
                <a:tint val="83000"/>
                <a:satMod val="100000"/>
                <a:lumMod val="100000"/>
              </a:schemeClr>
            </a:gs>
            <a:gs pos="100000">
              <a:schemeClr val="phClr">
                <a:tint val="61000"/>
                <a:satMod val="150000"/>
                <a:lumMod val="100000"/>
              </a:schemeClr>
            </a:gs>
          </a:gsLst>
          <a:path path="circle">
            <a:fillToRect l="100000" t="100000" r="100000" b="100000"/>
          </a:path>
        </a:gradFill>
        <a:gradFill rotWithShape="1">
          <a:gsLst>
            <a:gs pos="0">
              <a:schemeClr val="phClr">
                <a:tint val="100000"/>
                <a:shade val="85000"/>
                <a:satMod val="100000"/>
                <a:lumMod val="100000"/>
              </a:schemeClr>
            </a:gs>
            <a:gs pos="100000">
              <a:schemeClr val="phClr">
                <a:tint val="90000"/>
                <a:shade val="100000"/>
                <a:satMod val="150000"/>
                <a:lumMod val="100000"/>
              </a:schemeClr>
            </a:gs>
          </a:gsLst>
          <a:path path="circle">
            <a:fillToRect l="100000" t="100000" r="100000" b="100000"/>
          </a:path>
        </a:gradFill>
      </a:fillStyleLst>
      <a:lnStyleLst>
        <a:ln w="9525" cap="flat" cmpd="sng" algn="ctr">
          <a:solidFill>
            <a:schemeClr val="phClr"/>
          </a:solidFill>
          <a:prstDash val="solid"/>
        </a:ln>
        <a:ln w="15875" cap="flat" cmpd="sng" algn="ctr">
          <a:solidFill>
            <a:schemeClr val="phClr"/>
          </a:solidFill>
          <a:prstDash val="solid"/>
        </a:ln>
        <a:ln w="19050" cap="flat" cmpd="sng" algn="ctr">
          <a:solidFill>
            <a:schemeClr val="phClr"/>
          </a:solidFill>
          <a:prstDash val="solid"/>
        </a:ln>
      </a:lnStyleLst>
      <a:effectStyleLst>
        <a:effectStyle>
          <a:effectLst/>
        </a:effectStyle>
        <a:effectStyle>
          <a:effectLst>
            <a:outerShdw blurRad="50800" dist="12700" dir="5400000" algn="ctr" rotWithShape="0">
              <a:srgbClr val="000000">
                <a:alpha val="50000"/>
              </a:srgbClr>
            </a:outerShdw>
          </a:effectLst>
        </a:effectStyle>
        <a:effectStyle>
          <a:effectLst>
            <a:outerShdw blurRad="76200" dist="25400" dir="5400000" algn="ctr" rotWithShape="0">
              <a:srgbClr val="000000">
                <a:alpha val="60000"/>
              </a:srgbClr>
            </a:outerShdw>
          </a:effectLst>
          <a:scene3d>
            <a:camera prst="orthographicFront">
              <a:rot lat="0" lon="0" rev="0"/>
            </a:camera>
            <a:lightRig rig="flat" dir="t">
              <a:rot lat="0" lon="0" rev="3600000"/>
            </a:lightRig>
          </a:scene3d>
          <a:sp3d contourW="12700" prstMaterial="flat">
            <a:bevelT w="38100" h="44450" prst="angle"/>
            <a:contourClr>
              <a:schemeClr val="phClr">
                <a:shade val="35000"/>
                <a:satMod val="160000"/>
              </a:schemeClr>
            </a:contourClr>
          </a:sp3d>
        </a:effectStyle>
      </a:effectStyleLst>
      <a:bgFillStyleLst>
        <a:solidFill>
          <a:schemeClr val="phClr"/>
        </a:solidFill>
        <a:solidFill>
          <a:schemeClr val="phClr">
            <a:tint val="95000"/>
            <a:shade val="85000"/>
            <a:satMod val="125000"/>
          </a:schemeClr>
        </a:solidFill>
        <a:blipFill rotWithShape="1">
          <a:blip xmlns:r="http://schemas.openxmlformats.org/officeDocument/2006/relationships" r:embed="rId1">
            <a:duotone>
              <a:schemeClr val="phClr">
                <a:tint val="95000"/>
                <a:shade val="74000"/>
                <a:satMod val="230000"/>
              </a:schemeClr>
              <a:schemeClr val="phClr">
                <a:tint val="92000"/>
                <a:shade val="69000"/>
                <a:satMod val="250000"/>
              </a:schemeClr>
            </a:duotone>
          </a:blip>
          <a:tile tx="0" ty="0" sx="40000" sy="40000" flip="none" algn="tl"/>
        </a:blipFill>
      </a:bgFillStyleLst>
    </a:fmtScheme>
  </a:themeElements>
  <a:objectDefaults/>
  <a:extraClrSchemeLst/>
  <a:extLst>
    <a:ext uri="{05A4C25C-085E-4340-85A3-A5531E510DB2}">
      <thm15:themeFamily xmlns:thm15="http://schemas.microsoft.com/office/thememl/2012/main" name="Integral" id="{3577F8C9-A904-41D8-97D2-FD898F53F20E}" vid="{682D6EBE-8D36-4FF2-9DB3-F3D8D7B6715D}"/>
    </a:ext>
  </a:extLst>
</a:theme>
</file>

<file path=xl/worksheets/_rels/sheet1.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3" Type="http://schemas.openxmlformats.org/officeDocument/2006/relationships/pivotTable" Target="../pivotTables/pivotTable3.xml"/><Relationship Id="rId2" Type="http://schemas.openxmlformats.org/officeDocument/2006/relationships/pivotTable" Target="../pivotTables/pivotTable2.xml"/><Relationship Id="rId1" Type="http://schemas.openxmlformats.org/officeDocument/2006/relationships/pivotTable" Target="../pivotTables/pivotTable1.xml"/><Relationship Id="rId5" Type="http://schemas.microsoft.com/office/2007/relationships/slicer" Target="../slicers/slicer1.xml"/><Relationship Id="rId4" Type="http://schemas.openxmlformats.org/officeDocument/2006/relationships/drawing" Target="../drawings/drawing2.xml"/></Relationships>
</file>

<file path=xl/worksheets/_rels/sheet4.xml.rels><?xml version="1.0" encoding="UTF-8" standalone="yes"?>
<Relationships xmlns="http://schemas.openxmlformats.org/package/2006/relationships"><Relationship Id="rId3" Type="http://schemas.microsoft.com/office/2007/relationships/slicer" Target="../slicers/slicer2.xml"/><Relationship Id="rId2" Type="http://schemas.openxmlformats.org/officeDocument/2006/relationships/image" Target="../media/image4.png"/><Relationship Id="rId1" Type="http://schemas.openxmlformats.org/officeDocument/2006/relationships/drawing" Target="../drawings/drawing3.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28535D1-C836-4F64-B2E2-7578EE4D7B3D}">
  <dimension ref="B2:P27"/>
  <sheetViews>
    <sheetView showGridLines="0" topLeftCell="A9" zoomScale="140" zoomScaleNormal="140" workbookViewId="0">
      <selection activeCell="C24" sqref="C24"/>
    </sheetView>
  </sheetViews>
  <sheetFormatPr baseColWidth="10" defaultColWidth="8.83203125" defaultRowHeight="15" x14ac:dyDescent="0.2"/>
  <cols>
    <col min="1" max="1" width="5.33203125" customWidth="1"/>
    <col min="2" max="2" width="4.5" style="7" customWidth="1"/>
    <col min="8" max="8" width="16.83203125" customWidth="1"/>
    <col min="15" max="15" width="23.5" customWidth="1"/>
    <col min="16" max="16" width="7.5" customWidth="1"/>
  </cols>
  <sheetData>
    <row r="2" spans="2:16" ht="31" x14ac:dyDescent="0.35">
      <c r="I2" s="27" t="s">
        <v>148</v>
      </c>
      <c r="J2" s="27"/>
      <c r="K2" s="27"/>
      <c r="L2" s="27"/>
      <c r="M2" s="27"/>
      <c r="N2" s="27"/>
      <c r="O2" s="27"/>
      <c r="P2" s="27"/>
    </row>
    <row r="3" spans="2:16" ht="21" x14ac:dyDescent="0.25">
      <c r="I3" s="28" t="s">
        <v>149</v>
      </c>
      <c r="J3" s="28"/>
      <c r="K3" s="28"/>
      <c r="L3" s="28"/>
      <c r="M3" s="28"/>
      <c r="N3" s="28"/>
      <c r="O3" s="28"/>
      <c r="P3" s="28"/>
    </row>
    <row r="4" spans="2:16" ht="17.75" customHeight="1" x14ac:dyDescent="0.2"/>
    <row r="5" spans="2:16" ht="21.5" customHeight="1" x14ac:dyDescent="0.2">
      <c r="I5" s="26" t="s">
        <v>137</v>
      </c>
      <c r="J5" s="26"/>
      <c r="K5" s="26"/>
      <c r="L5" s="26"/>
      <c r="M5" s="26"/>
      <c r="N5" s="26"/>
      <c r="O5" s="26"/>
      <c r="P5" s="26"/>
    </row>
    <row r="8" spans="2:16" ht="20" thickBot="1" x14ac:dyDescent="0.3">
      <c r="B8" s="11" t="s">
        <v>118</v>
      </c>
      <c r="C8" s="6"/>
      <c r="D8" s="6"/>
      <c r="E8" s="6"/>
      <c r="F8" s="6"/>
      <c r="G8" s="6"/>
      <c r="H8" s="6"/>
      <c r="I8" s="6"/>
      <c r="J8" s="6"/>
      <c r="K8" s="6"/>
      <c r="L8" s="6"/>
      <c r="M8" s="6"/>
      <c r="N8" s="6"/>
      <c r="O8" s="6"/>
      <c r="P8" s="6"/>
    </row>
    <row r="9" spans="2:16" x14ac:dyDescent="0.2">
      <c r="B9" t="s">
        <v>138</v>
      </c>
    </row>
    <row r="10" spans="2:16" ht="8.25" customHeight="1" x14ac:dyDescent="0.2"/>
    <row r="11" spans="2:16" x14ac:dyDescent="0.2">
      <c r="B11" s="7" t="s">
        <v>119</v>
      </c>
      <c r="C11" t="s">
        <v>139</v>
      </c>
    </row>
    <row r="12" spans="2:16" ht="8.25" customHeight="1" x14ac:dyDescent="0.2"/>
    <row r="13" spans="2:16" x14ac:dyDescent="0.2">
      <c r="B13" s="7" t="s">
        <v>121</v>
      </c>
      <c r="C13" t="s">
        <v>145</v>
      </c>
    </row>
    <row r="14" spans="2:16" ht="8.25" customHeight="1" x14ac:dyDescent="0.2"/>
    <row r="15" spans="2:16" x14ac:dyDescent="0.2">
      <c r="B15" s="7" t="s">
        <v>132</v>
      </c>
      <c r="C15" t="s">
        <v>140</v>
      </c>
    </row>
    <row r="16" spans="2:16" x14ac:dyDescent="0.2">
      <c r="B16" s="7" t="s">
        <v>120</v>
      </c>
      <c r="C16" t="s">
        <v>146</v>
      </c>
    </row>
    <row r="17" spans="2:16" ht="8.25" customHeight="1" x14ac:dyDescent="0.2"/>
    <row r="18" spans="2:16" x14ac:dyDescent="0.2">
      <c r="B18" s="7" t="s">
        <v>133</v>
      </c>
      <c r="C18" t="s">
        <v>142</v>
      </c>
      <c r="P18" s="8" t="s">
        <v>122</v>
      </c>
    </row>
    <row r="19" spans="2:16" x14ac:dyDescent="0.2">
      <c r="B19" s="7" t="s">
        <v>120</v>
      </c>
      <c r="C19" t="s">
        <v>147</v>
      </c>
    </row>
    <row r="20" spans="2:16" ht="8.25" customHeight="1" x14ac:dyDescent="0.2"/>
    <row r="21" spans="2:16" x14ac:dyDescent="0.2">
      <c r="B21" s="7" t="s">
        <v>130</v>
      </c>
      <c r="C21" t="s">
        <v>143</v>
      </c>
      <c r="P21" s="8" t="s">
        <v>122</v>
      </c>
    </row>
    <row r="22" spans="2:16" x14ac:dyDescent="0.2">
      <c r="B22" s="7" t="s">
        <v>120</v>
      </c>
      <c r="C22" t="s">
        <v>141</v>
      </c>
    </row>
    <row r="23" spans="2:16" ht="8.25" customHeight="1" x14ac:dyDescent="0.2"/>
    <row r="24" spans="2:16" x14ac:dyDescent="0.2">
      <c r="B24" s="7" t="s">
        <v>131</v>
      </c>
      <c r="C24" t="s">
        <v>144</v>
      </c>
    </row>
    <row r="25" spans="2:16" x14ac:dyDescent="0.2">
      <c r="B25" s="7" t="s">
        <v>120</v>
      </c>
      <c r="C25" t="s">
        <v>134</v>
      </c>
      <c r="P25" s="8" t="s">
        <v>122</v>
      </c>
    </row>
    <row r="26" spans="2:16" x14ac:dyDescent="0.2">
      <c r="B26" s="7" t="s">
        <v>150</v>
      </c>
      <c r="C26" t="s">
        <v>151</v>
      </c>
    </row>
    <row r="27" spans="2:16" x14ac:dyDescent="0.2">
      <c r="B27" s="10" t="s">
        <v>136</v>
      </c>
    </row>
  </sheetData>
  <mergeCells count="3">
    <mergeCell ref="I5:P5"/>
    <mergeCell ref="I2:P2"/>
    <mergeCell ref="I3:P3"/>
  </mergeCells>
  <dataValidations count="3">
    <dataValidation allowBlank="1" showInputMessage="1" showErrorMessage="1" promptTitle="Hint:" prompt="You will need to use a LEFT function as well as a CONCATENATE or &amp;." sqref="P18" xr:uid="{1B82BFE0-3A03-46B5-80F3-AED050C99618}"/>
    <dataValidation allowBlank="1" showInputMessage="1" showErrorMessage="1" promptTitle="Hint:" prompt="There are extra characters at the end of the location data. Try finding out what they are and then use CLEAN, UNICHAR and SUBSTITUTE to remove them." sqref="P25" xr:uid="{061A439B-B230-4B2F-B263-DE3D87D93714}"/>
    <dataValidation allowBlank="1" showInputMessage="1" showErrorMessage="1" promptTitle="Hint:" prompt="You will need to use a MID and a FIND." sqref="P21" xr:uid="{6E0AF74D-7A94-4F91-98F3-2D44927E44D9}"/>
  </dataValidations>
  <pageMargins left="0.7" right="0.7" top="0.75" bottom="0.75" header="0.3" footer="0.3"/>
  <pageSetup paperSize="9" orientation="portrait" r:id="rId1"/>
  <drawing r:id="rId2"/>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dimension ref="A1:M38"/>
  <sheetViews>
    <sheetView zoomScale="120" zoomScaleNormal="120" workbookViewId="0">
      <selection activeCell="I16" sqref="A16:I25"/>
    </sheetView>
  </sheetViews>
  <sheetFormatPr baseColWidth="10" defaultColWidth="8.83203125" defaultRowHeight="15" x14ac:dyDescent="0.2"/>
  <cols>
    <col min="1" max="1" width="8.6640625" style="10" customWidth="1"/>
    <col min="2" max="2" width="13" bestFit="1" customWidth="1"/>
    <col min="3" max="3" width="14.5" customWidth="1"/>
    <col min="4" max="5" width="13" customWidth="1"/>
    <col min="6" max="6" width="18.83203125" customWidth="1"/>
    <col min="7" max="7" width="22.5" customWidth="1"/>
    <col min="8" max="8" width="14" customWidth="1"/>
    <col min="9" max="9" width="17.6640625" customWidth="1"/>
    <col min="10" max="10" width="18.6640625" customWidth="1"/>
    <col min="11" max="11" width="10.1640625" customWidth="1"/>
    <col min="12" max="12" width="10.6640625" customWidth="1"/>
    <col min="13" max="13" width="12.6640625" customWidth="1"/>
  </cols>
  <sheetData>
    <row r="1" spans="1:13" ht="24" x14ac:dyDescent="0.3">
      <c r="A1" s="9" t="s">
        <v>81</v>
      </c>
      <c r="B1" s="3"/>
      <c r="C1" s="3"/>
    </row>
    <row r="3" spans="1:13" ht="17" x14ac:dyDescent="0.2">
      <c r="A3" s="4" t="s">
        <v>129</v>
      </c>
      <c r="B3" s="4" t="s">
        <v>126</v>
      </c>
      <c r="C3" s="4" t="s">
        <v>0</v>
      </c>
      <c r="D3" s="4" t="s">
        <v>124</v>
      </c>
      <c r="E3" s="4" t="s">
        <v>125</v>
      </c>
      <c r="F3" s="4" t="s">
        <v>1</v>
      </c>
      <c r="G3" s="4" t="s">
        <v>2</v>
      </c>
      <c r="H3" s="4" t="s">
        <v>3</v>
      </c>
      <c r="I3" s="4" t="s">
        <v>4</v>
      </c>
      <c r="J3" s="4" t="s">
        <v>5</v>
      </c>
      <c r="K3" s="4" t="s">
        <v>123</v>
      </c>
      <c r="L3" s="4" t="s">
        <v>80</v>
      </c>
      <c r="M3" s="4" t="s">
        <v>135</v>
      </c>
    </row>
    <row r="4" spans="1:13" ht="16" x14ac:dyDescent="0.2">
      <c r="A4" s="10">
        <v>1180</v>
      </c>
      <c r="B4" t="s">
        <v>127</v>
      </c>
      <c r="C4" t="str">
        <f>_xlfn.TEXTJOIN("",0,B4,A4)</f>
        <v>F1180</v>
      </c>
      <c r="D4" t="s">
        <v>82</v>
      </c>
      <c r="E4" s="5" t="s">
        <v>62</v>
      </c>
      <c r="F4" s="12" t="str">
        <f>PROPER(_xlfn.TEXTJOIN(" ",0,E4,D4))</f>
        <v>Stevie Bacata</v>
      </c>
      <c r="G4" s="12" t="str">
        <f>LOWER(LEFT(E4,1)&amp;D4&amp;A4&amp;"@zenco.com")</f>
        <v>sbacata1180@zenco.com</v>
      </c>
      <c r="H4" s="1">
        <v>39551</v>
      </c>
      <c r="I4" s="2" t="s">
        <v>69</v>
      </c>
      <c r="J4" s="2" t="s">
        <v>83</v>
      </c>
      <c r="K4" s="2" t="str">
        <f>LEFT(J4,2)</f>
        <v>02</v>
      </c>
      <c r="L4" t="str">
        <f>SUBSTITUTE( MID(J4,4,FIND("-",J4,4)-4),"NorthEast","North")</f>
        <v>West</v>
      </c>
      <c r="M4" t="str">
        <f>RIGHT(J4,5)</f>
        <v>2635 </v>
      </c>
    </row>
    <row r="5" spans="1:13" ht="16" x14ac:dyDescent="0.2">
      <c r="A5" s="10">
        <v>1110</v>
      </c>
      <c r="B5" t="s">
        <v>127</v>
      </c>
      <c r="C5" t="str">
        <f t="shared" ref="C5:C38" si="0">_xlfn.TEXTJOIN("",0,B5,A5)</f>
        <v>F1110</v>
      </c>
      <c r="D5" t="s">
        <v>7</v>
      </c>
      <c r="E5" s="5" t="s">
        <v>11</v>
      </c>
      <c r="F5" s="12" t="str">
        <f t="shared" ref="F5:F38" si="1">PROPER(_xlfn.TEXTJOIN(" ",0,E5,D5))</f>
        <v>Adam Barry</v>
      </c>
      <c r="G5" s="12" t="str">
        <f t="shared" ref="G5:G38" si="2">LOWER(LEFT(E5,1)&amp;D5&amp;A5&amp;"@zenco.com")</f>
        <v>abarry1110@zenco.com</v>
      </c>
      <c r="H5" s="1">
        <v>38099</v>
      </c>
      <c r="I5" s="2" t="s">
        <v>30</v>
      </c>
      <c r="J5" s="2" t="s">
        <v>84</v>
      </c>
      <c r="K5" s="2" t="str">
        <f t="shared" ref="K5:K38" si="3">LEFT(J5,2)</f>
        <v>02</v>
      </c>
      <c r="L5" t="str">
        <f t="shared" ref="L5:L38" si="4">SUBSTITUTE( MID(J5,4,FIND("-",J5,4)-4),"NorthEast","North")</f>
        <v>West</v>
      </c>
      <c r="M5" t="str">
        <f t="shared" ref="M5:M38" si="5">RIGHT(J5,5)</f>
        <v>2018 </v>
      </c>
    </row>
    <row r="6" spans="1:13" ht="16" x14ac:dyDescent="0.2">
      <c r="A6" s="10">
        <v>1232</v>
      </c>
      <c r="B6" t="s">
        <v>127</v>
      </c>
      <c r="C6" t="str">
        <f t="shared" si="0"/>
        <v>F1232</v>
      </c>
      <c r="D6" t="s">
        <v>57</v>
      </c>
      <c r="E6" s="5" t="s">
        <v>56</v>
      </c>
      <c r="F6" s="12" t="str">
        <f t="shared" si="1"/>
        <v>Connor Betts</v>
      </c>
      <c r="G6" s="12" t="str">
        <f t="shared" si="2"/>
        <v>cbetts1232@zenco.com</v>
      </c>
      <c r="H6" s="1">
        <v>41956</v>
      </c>
      <c r="I6" s="2" t="s">
        <v>69</v>
      </c>
      <c r="J6" s="2" t="s">
        <v>85</v>
      </c>
      <c r="K6" s="2" t="str">
        <f t="shared" si="3"/>
        <v>02</v>
      </c>
      <c r="L6" t="str">
        <f t="shared" si="4"/>
        <v>North</v>
      </c>
      <c r="M6" t="str">
        <f t="shared" si="5"/>
        <v>2347 </v>
      </c>
    </row>
    <row r="7" spans="1:13" ht="16" x14ac:dyDescent="0.2">
      <c r="A7" s="10">
        <v>1243</v>
      </c>
      <c r="B7" t="s">
        <v>128</v>
      </c>
      <c r="C7" t="str">
        <f t="shared" si="0"/>
        <v>P1243</v>
      </c>
      <c r="D7" t="s">
        <v>39</v>
      </c>
      <c r="E7" s="5" t="s">
        <v>38</v>
      </c>
      <c r="F7" s="12" t="str">
        <f t="shared" si="1"/>
        <v>Fred Binga</v>
      </c>
      <c r="G7" s="12" t="str">
        <f t="shared" si="2"/>
        <v>fbinga1243@zenco.com</v>
      </c>
      <c r="H7" s="1">
        <v>42229</v>
      </c>
      <c r="I7" s="2" t="s">
        <v>17</v>
      </c>
      <c r="J7" s="2" t="s">
        <v>86</v>
      </c>
      <c r="K7" s="2" t="str">
        <f t="shared" si="3"/>
        <v>03</v>
      </c>
      <c r="L7" t="str">
        <f t="shared" si="4"/>
        <v>West</v>
      </c>
      <c r="M7" t="str">
        <f t="shared" si="5"/>
        <v>2764 </v>
      </c>
    </row>
    <row r="8" spans="1:13" ht="16" x14ac:dyDescent="0.2">
      <c r="A8" s="10">
        <v>1248</v>
      </c>
      <c r="B8" t="s">
        <v>128</v>
      </c>
      <c r="C8" t="str">
        <f t="shared" si="0"/>
        <v>P1248</v>
      </c>
      <c r="D8" t="s">
        <v>59</v>
      </c>
      <c r="E8" s="5" t="s">
        <v>58</v>
      </c>
      <c r="F8" s="12" t="str">
        <f t="shared" si="1"/>
        <v>Yvette Biti</v>
      </c>
      <c r="G8" s="12" t="str">
        <f t="shared" si="2"/>
        <v>ybiti1248@zenco.com</v>
      </c>
      <c r="H8" s="1">
        <v>42384</v>
      </c>
      <c r="I8" s="2" t="s">
        <v>69</v>
      </c>
      <c r="J8" s="2" t="s">
        <v>115</v>
      </c>
      <c r="K8" s="2" t="str">
        <f t="shared" si="3"/>
        <v>02</v>
      </c>
      <c r="L8" t="str">
        <f t="shared" si="4"/>
        <v>West</v>
      </c>
      <c r="M8" t="str">
        <f t="shared" si="5"/>
        <v>589 _x001F_</v>
      </c>
    </row>
    <row r="9" spans="1:13" ht="16" x14ac:dyDescent="0.2">
      <c r="A9" s="10">
        <v>1227</v>
      </c>
      <c r="B9" t="s">
        <v>128</v>
      </c>
      <c r="C9" t="str">
        <f t="shared" si="0"/>
        <v>P1227</v>
      </c>
      <c r="D9" t="s">
        <v>25</v>
      </c>
      <c r="E9" s="5" t="s">
        <v>36</v>
      </c>
      <c r="F9" s="12" t="str">
        <f t="shared" si="1"/>
        <v>Jim Boller</v>
      </c>
      <c r="G9" s="12" t="str">
        <f t="shared" si="2"/>
        <v>jboller1227@zenco.com</v>
      </c>
      <c r="H9" s="1">
        <v>41893</v>
      </c>
      <c r="I9" s="2" t="s">
        <v>15</v>
      </c>
      <c r="J9" s="2" t="s">
        <v>87</v>
      </c>
      <c r="K9" s="2" t="str">
        <f t="shared" si="3"/>
        <v>03</v>
      </c>
      <c r="L9" t="str">
        <f t="shared" si="4"/>
        <v>East</v>
      </c>
      <c r="M9" t="str">
        <f t="shared" si="5"/>
        <v>2318 </v>
      </c>
    </row>
    <row r="10" spans="1:13" ht="16" x14ac:dyDescent="0.2">
      <c r="A10" s="10">
        <v>1230</v>
      </c>
      <c r="B10" t="s">
        <v>128</v>
      </c>
      <c r="C10" t="str">
        <f t="shared" si="0"/>
        <v>P1230</v>
      </c>
      <c r="D10" t="s">
        <v>61</v>
      </c>
      <c r="E10" s="5" t="s">
        <v>60</v>
      </c>
      <c r="F10" s="12" t="str">
        <f t="shared" si="1"/>
        <v>Charlie Bui</v>
      </c>
      <c r="G10" s="12" t="str">
        <f t="shared" si="2"/>
        <v>cbui1230@zenco.com</v>
      </c>
      <c r="H10" s="1">
        <v>41903</v>
      </c>
      <c r="I10" s="2" t="s">
        <v>69</v>
      </c>
      <c r="J10" s="2" t="s">
        <v>88</v>
      </c>
      <c r="K10" s="2" t="str">
        <f t="shared" si="3"/>
        <v>02</v>
      </c>
      <c r="L10" t="str">
        <f t="shared" si="4"/>
        <v>East</v>
      </c>
      <c r="M10" t="str">
        <f t="shared" si="5"/>
        <v>2694 </v>
      </c>
    </row>
    <row r="11" spans="1:13" ht="16" x14ac:dyDescent="0.2">
      <c r="A11" s="10">
        <v>1162</v>
      </c>
      <c r="B11" t="s">
        <v>127</v>
      </c>
      <c r="C11" t="str">
        <f t="shared" si="0"/>
        <v>F1162</v>
      </c>
      <c r="D11" t="s">
        <v>43</v>
      </c>
      <c r="E11" s="5" t="s">
        <v>41</v>
      </c>
      <c r="F11" s="12" t="str">
        <f t="shared" si="1"/>
        <v>Barbara Carlton</v>
      </c>
      <c r="G11" s="12" t="str">
        <f t="shared" si="2"/>
        <v>bcarlton1162@zenco.com</v>
      </c>
      <c r="H11" s="1">
        <v>38798</v>
      </c>
      <c r="I11" s="2" t="s">
        <v>69</v>
      </c>
      <c r="J11" s="2" t="s">
        <v>89</v>
      </c>
      <c r="K11" s="2" t="str">
        <f t="shared" si="3"/>
        <v>02</v>
      </c>
      <c r="L11" t="str">
        <f t="shared" si="4"/>
        <v>West</v>
      </c>
      <c r="M11" t="str">
        <f t="shared" si="5"/>
        <v>2699 </v>
      </c>
    </row>
    <row r="12" spans="1:13" ht="16" x14ac:dyDescent="0.2">
      <c r="A12" s="10">
        <v>1001</v>
      </c>
      <c r="B12" t="s">
        <v>128</v>
      </c>
      <c r="C12" t="str">
        <f t="shared" si="0"/>
        <v>P1001</v>
      </c>
      <c r="D12" t="s">
        <v>27</v>
      </c>
      <c r="E12" s="5" t="s">
        <v>29</v>
      </c>
      <c r="F12" s="12" t="str">
        <f t="shared" si="1"/>
        <v>Joe Carol</v>
      </c>
      <c r="G12" s="12" t="str">
        <f t="shared" si="2"/>
        <v>jcarol1001@zenco.com</v>
      </c>
      <c r="H12" s="1">
        <v>36923</v>
      </c>
      <c r="I12" s="2" t="s">
        <v>28</v>
      </c>
      <c r="J12" s="2" t="s">
        <v>90</v>
      </c>
      <c r="K12" s="2" t="str">
        <f t="shared" si="3"/>
        <v>01</v>
      </c>
      <c r="L12" t="str">
        <f t="shared" si="4"/>
        <v>East</v>
      </c>
      <c r="M12" t="str">
        <f t="shared" si="5"/>
        <v>2321 </v>
      </c>
    </row>
    <row r="13" spans="1:13" ht="16" x14ac:dyDescent="0.2">
      <c r="A13" s="10">
        <v>1224</v>
      </c>
      <c r="B13" t="s">
        <v>127</v>
      </c>
      <c r="C13" t="str">
        <f t="shared" si="0"/>
        <v>F1224</v>
      </c>
      <c r="D13" t="s">
        <v>10</v>
      </c>
      <c r="E13" s="5" t="s">
        <v>36</v>
      </c>
      <c r="F13" s="12" t="str">
        <f t="shared" si="1"/>
        <v>Jim Chaffee</v>
      </c>
      <c r="G13" s="12" t="str">
        <f t="shared" si="2"/>
        <v>jchaffee1224@zenco.com</v>
      </c>
      <c r="H13" s="1">
        <v>41787</v>
      </c>
      <c r="I13" s="2" t="s">
        <v>12</v>
      </c>
      <c r="J13" s="2" t="s">
        <v>91</v>
      </c>
      <c r="K13" s="2" t="str">
        <f t="shared" si="3"/>
        <v>03</v>
      </c>
      <c r="L13" t="str">
        <f t="shared" si="4"/>
        <v>West</v>
      </c>
      <c r="M13" t="str">
        <f t="shared" si="5"/>
        <v>2432 </v>
      </c>
    </row>
    <row r="14" spans="1:13" ht="16" x14ac:dyDescent="0.2">
      <c r="A14" s="10">
        <v>1203</v>
      </c>
      <c r="B14" t="s">
        <v>128</v>
      </c>
      <c r="C14" t="str">
        <f t="shared" si="0"/>
        <v>P1203</v>
      </c>
      <c r="D14" t="s">
        <v>45</v>
      </c>
      <c r="E14" s="5" t="s">
        <v>44</v>
      </c>
      <c r="F14" s="12" t="str">
        <f t="shared" si="1"/>
        <v>Samantha Chairs</v>
      </c>
      <c r="G14" s="12" t="str">
        <f t="shared" si="2"/>
        <v>schairs1203@zenco.com</v>
      </c>
      <c r="H14" s="1">
        <v>40595</v>
      </c>
      <c r="I14" s="2" t="s">
        <v>69</v>
      </c>
      <c r="J14" s="2" t="s">
        <v>92</v>
      </c>
      <c r="K14" s="2" t="str">
        <f t="shared" si="3"/>
        <v>02</v>
      </c>
      <c r="L14" t="str">
        <f t="shared" si="4"/>
        <v>West</v>
      </c>
      <c r="M14" t="str">
        <f t="shared" si="5"/>
        <v>2962 </v>
      </c>
    </row>
    <row r="15" spans="1:13" ht="16" x14ac:dyDescent="0.2">
      <c r="A15" s="10">
        <v>1211</v>
      </c>
      <c r="B15" t="s">
        <v>128</v>
      </c>
      <c r="C15" t="str">
        <f t="shared" si="0"/>
        <v>P1211</v>
      </c>
      <c r="D15" t="s">
        <v>79</v>
      </c>
      <c r="E15" s="5" t="s">
        <v>78</v>
      </c>
      <c r="F15" s="12" t="str">
        <f t="shared" si="1"/>
        <v>Uma Chaudri</v>
      </c>
      <c r="G15" s="12" t="str">
        <f t="shared" si="2"/>
        <v>uchaudri1211@zenco.com</v>
      </c>
      <c r="H15" s="1">
        <v>40994</v>
      </c>
      <c r="I15" s="2" t="s">
        <v>17</v>
      </c>
      <c r="J15" s="2" t="s">
        <v>116</v>
      </c>
      <c r="K15" s="2" t="str">
        <f t="shared" si="3"/>
        <v>03</v>
      </c>
      <c r="L15" t="str">
        <f t="shared" si="4"/>
        <v>East</v>
      </c>
      <c r="M15" t="str">
        <f t="shared" si="5"/>
        <v>134 _x001F_</v>
      </c>
    </row>
    <row r="16" spans="1:13" ht="16" x14ac:dyDescent="0.2">
      <c r="A16" s="10">
        <v>1198</v>
      </c>
      <c r="B16" t="s">
        <v>128</v>
      </c>
      <c r="C16" t="str">
        <f t="shared" si="0"/>
        <v>P1198</v>
      </c>
      <c r="D16" t="s">
        <v>37</v>
      </c>
      <c r="E16" s="5" t="s">
        <v>16</v>
      </c>
      <c r="F16" s="12" t="str">
        <f t="shared" si="1"/>
        <v>Elizabeth Chu</v>
      </c>
      <c r="G16" s="12" t="str">
        <f t="shared" si="2"/>
        <v>echu1198@zenco.com</v>
      </c>
      <c r="H16" s="1">
        <v>40220</v>
      </c>
      <c r="I16" s="2" t="s">
        <v>77</v>
      </c>
      <c r="J16" s="2" t="s">
        <v>93</v>
      </c>
      <c r="K16" s="2" t="str">
        <f t="shared" si="3"/>
        <v>01</v>
      </c>
      <c r="L16" t="str">
        <f t="shared" si="4"/>
        <v>West</v>
      </c>
      <c r="M16" t="str">
        <f t="shared" si="5"/>
        <v>2425 </v>
      </c>
    </row>
    <row r="17" spans="1:13" ht="16" x14ac:dyDescent="0.2">
      <c r="A17" s="10">
        <v>1003</v>
      </c>
      <c r="B17" t="s">
        <v>127</v>
      </c>
      <c r="C17" t="str">
        <f t="shared" si="0"/>
        <v>F1003</v>
      </c>
      <c r="D17" t="s">
        <v>20</v>
      </c>
      <c r="E17" s="5" t="s">
        <v>70</v>
      </c>
      <c r="F17" s="12" t="str">
        <f t="shared" si="1"/>
        <v>Eric Chung</v>
      </c>
      <c r="G17" s="12" t="str">
        <f t="shared" si="2"/>
        <v>echung1003@zenco.com</v>
      </c>
      <c r="H17" s="1">
        <v>36949</v>
      </c>
      <c r="I17" s="2" t="s">
        <v>77</v>
      </c>
      <c r="J17" s="2" t="s">
        <v>94</v>
      </c>
      <c r="K17" s="2" t="str">
        <f t="shared" si="3"/>
        <v>03</v>
      </c>
      <c r="L17" t="str">
        <f t="shared" si="4"/>
        <v>West</v>
      </c>
      <c r="M17" t="str">
        <f t="shared" si="5"/>
        <v>2796 </v>
      </c>
    </row>
    <row r="18" spans="1:13" ht="16" x14ac:dyDescent="0.2">
      <c r="A18" s="10">
        <v>1235</v>
      </c>
      <c r="B18" t="s">
        <v>127</v>
      </c>
      <c r="C18" t="str">
        <f t="shared" si="0"/>
        <v>F1235</v>
      </c>
      <c r="D18" t="s">
        <v>24</v>
      </c>
      <c r="E18" s="5" t="s">
        <v>73</v>
      </c>
      <c r="F18" s="12" t="str">
        <f t="shared" si="1"/>
        <v>Anna Clark</v>
      </c>
      <c r="G18" s="12" t="str">
        <f t="shared" si="2"/>
        <v>aclark1235@zenco.com</v>
      </c>
      <c r="H18" s="1">
        <v>41989</v>
      </c>
      <c r="I18" s="2" t="s">
        <v>15</v>
      </c>
      <c r="J18" s="2" t="s">
        <v>95</v>
      </c>
      <c r="K18" s="2" t="str">
        <f t="shared" si="3"/>
        <v>03</v>
      </c>
      <c r="L18" t="str">
        <f t="shared" si="4"/>
        <v>West</v>
      </c>
      <c r="M18" t="str">
        <f t="shared" si="5"/>
        <v>2601 </v>
      </c>
    </row>
    <row r="19" spans="1:13" ht="16" x14ac:dyDescent="0.2">
      <c r="A19" s="10">
        <v>1253</v>
      </c>
      <c r="B19" t="s">
        <v>128</v>
      </c>
      <c r="C19" t="str">
        <f t="shared" si="0"/>
        <v>P1253</v>
      </c>
      <c r="D19" t="s">
        <v>24</v>
      </c>
      <c r="E19" s="5" t="s">
        <v>76</v>
      </c>
      <c r="F19" s="12" t="str">
        <f t="shared" si="1"/>
        <v>Elizabeth Clark</v>
      </c>
      <c r="G19" s="12" t="str">
        <f t="shared" si="2"/>
        <v>eclark1253@zenco.com</v>
      </c>
      <c r="H19" s="1">
        <v>42905</v>
      </c>
      <c r="I19" s="2" t="s">
        <v>30</v>
      </c>
      <c r="J19" s="2" t="s">
        <v>96</v>
      </c>
      <c r="K19" s="2" t="str">
        <f t="shared" si="3"/>
        <v>02</v>
      </c>
      <c r="L19" t="str">
        <f t="shared" si="4"/>
        <v>North</v>
      </c>
      <c r="M19" t="str">
        <f t="shared" si="5"/>
        <v>2414 </v>
      </c>
    </row>
    <row r="20" spans="1:13" ht="16" x14ac:dyDescent="0.2">
      <c r="A20" s="10">
        <v>1221</v>
      </c>
      <c r="B20" t="s">
        <v>128</v>
      </c>
      <c r="C20" t="str">
        <f t="shared" si="0"/>
        <v>P1221</v>
      </c>
      <c r="D20" t="s">
        <v>8</v>
      </c>
      <c r="E20" s="5" t="s">
        <v>23</v>
      </c>
      <c r="F20" s="12" t="str">
        <f t="shared" si="1"/>
        <v>Sabrina Cole</v>
      </c>
      <c r="G20" s="12" t="str">
        <f t="shared" si="2"/>
        <v>scole1221@zenco.com</v>
      </c>
      <c r="H20" s="1">
        <v>41401</v>
      </c>
      <c r="I20" s="2" t="s">
        <v>30</v>
      </c>
      <c r="J20" s="2" t="s">
        <v>97</v>
      </c>
      <c r="K20" s="2" t="str">
        <f t="shared" si="3"/>
        <v>02</v>
      </c>
      <c r="L20" t="str">
        <f t="shared" si="4"/>
        <v>West</v>
      </c>
      <c r="M20" t="str">
        <f t="shared" si="5"/>
        <v>2537 </v>
      </c>
    </row>
    <row r="21" spans="1:13" ht="16" x14ac:dyDescent="0.2">
      <c r="A21" s="10">
        <v>1186</v>
      </c>
      <c r="B21" t="s">
        <v>127</v>
      </c>
      <c r="C21" t="str">
        <f t="shared" si="0"/>
        <v>F1186</v>
      </c>
      <c r="D21" t="s">
        <v>31</v>
      </c>
      <c r="E21" s="5" t="s">
        <v>19</v>
      </c>
      <c r="F21" s="12" t="str">
        <f t="shared" si="1"/>
        <v>Janet Comuntzis</v>
      </c>
      <c r="G21" s="12" t="str">
        <f t="shared" si="2"/>
        <v>jcomuntzis1186@zenco.com</v>
      </c>
      <c r="H21" s="1">
        <v>39686</v>
      </c>
      <c r="I21" s="2" t="s">
        <v>30</v>
      </c>
      <c r="J21" s="2" t="s">
        <v>98</v>
      </c>
      <c r="K21" s="2" t="str">
        <f t="shared" si="3"/>
        <v>02</v>
      </c>
      <c r="L21" t="str">
        <f t="shared" si="4"/>
        <v>West</v>
      </c>
      <c r="M21" t="str">
        <f t="shared" si="5"/>
        <v>2286 </v>
      </c>
    </row>
    <row r="22" spans="1:13" ht="16" x14ac:dyDescent="0.2">
      <c r="A22" s="10">
        <v>1218</v>
      </c>
      <c r="B22" t="s">
        <v>128</v>
      </c>
      <c r="C22" t="str">
        <f t="shared" si="0"/>
        <v>P1218</v>
      </c>
      <c r="D22" t="s">
        <v>6</v>
      </c>
      <c r="E22" s="5" t="s">
        <v>21</v>
      </c>
      <c r="F22" s="12" t="str">
        <f t="shared" si="1"/>
        <v>Bob Decker</v>
      </c>
      <c r="G22" s="12" t="str">
        <f t="shared" si="2"/>
        <v>bdecker1218@zenco.com</v>
      </c>
      <c r="H22" s="1">
        <v>41210</v>
      </c>
      <c r="I22" s="2" t="s">
        <v>77</v>
      </c>
      <c r="J22" s="2" t="s">
        <v>117</v>
      </c>
      <c r="K22" s="2" t="str">
        <f t="shared" si="3"/>
        <v>01</v>
      </c>
      <c r="L22" t="str">
        <f t="shared" si="4"/>
        <v>East</v>
      </c>
      <c r="M22" t="str">
        <f t="shared" si="5"/>
        <v>086 _x001F_</v>
      </c>
    </row>
    <row r="23" spans="1:13" ht="16" x14ac:dyDescent="0.2">
      <c r="A23" s="10">
        <v>1215</v>
      </c>
      <c r="B23" t="s">
        <v>127</v>
      </c>
      <c r="C23" t="str">
        <f t="shared" si="0"/>
        <v>F1215</v>
      </c>
      <c r="D23" t="s">
        <v>40</v>
      </c>
      <c r="E23" s="5" t="s">
        <v>42</v>
      </c>
      <c r="F23" s="12" t="str">
        <f t="shared" si="1"/>
        <v>Tina Desiato</v>
      </c>
      <c r="G23" s="12" t="str">
        <f t="shared" si="2"/>
        <v>tdesiato1215@zenco.com</v>
      </c>
      <c r="H23" s="1">
        <v>41175</v>
      </c>
      <c r="I23" t="s">
        <v>77</v>
      </c>
      <c r="J23" s="2" t="s">
        <v>99</v>
      </c>
      <c r="K23" s="2" t="str">
        <f t="shared" si="3"/>
        <v>01</v>
      </c>
      <c r="L23" t="str">
        <f t="shared" si="4"/>
        <v>East</v>
      </c>
      <c r="M23" t="str">
        <f t="shared" si="5"/>
        <v>2358 </v>
      </c>
    </row>
    <row r="24" spans="1:13" ht="16" x14ac:dyDescent="0.2">
      <c r="A24" s="10">
        <v>1241</v>
      </c>
      <c r="B24" t="s">
        <v>128</v>
      </c>
      <c r="C24" t="str">
        <f t="shared" si="0"/>
        <v>P1241</v>
      </c>
      <c r="D24" t="s">
        <v>13</v>
      </c>
      <c r="E24" s="5" t="s">
        <v>34</v>
      </c>
      <c r="F24" s="12" t="str">
        <f t="shared" si="1"/>
        <v>Alexandra Donnell</v>
      </c>
      <c r="G24" s="12" t="str">
        <f t="shared" si="2"/>
        <v>adonnell1241@zenco.com</v>
      </c>
      <c r="H24" s="1">
        <v>42228</v>
      </c>
      <c r="I24" s="2" t="s">
        <v>15</v>
      </c>
      <c r="J24" s="2" t="s">
        <v>100</v>
      </c>
      <c r="K24" s="2" t="str">
        <f t="shared" si="3"/>
        <v>03</v>
      </c>
      <c r="L24" t="str">
        <f t="shared" si="4"/>
        <v>West</v>
      </c>
      <c r="M24" t="str">
        <f t="shared" si="5"/>
        <v>2082 </v>
      </c>
    </row>
    <row r="25" spans="1:13" ht="16" x14ac:dyDescent="0.2">
      <c r="A25" s="10">
        <v>1246</v>
      </c>
      <c r="B25" t="s">
        <v>127</v>
      </c>
      <c r="C25" t="str">
        <f t="shared" si="0"/>
        <v>F1246</v>
      </c>
      <c r="D25" t="s">
        <v>18</v>
      </c>
      <c r="E25" s="5" t="s">
        <v>32</v>
      </c>
      <c r="F25" s="12" t="str">
        <f t="shared" si="1"/>
        <v>Mark Ellis</v>
      </c>
      <c r="G25" s="12" t="str">
        <f t="shared" si="2"/>
        <v>mellis1246@zenco.com</v>
      </c>
      <c r="H25" s="1">
        <v>42371</v>
      </c>
      <c r="I25" s="2" t="s">
        <v>77</v>
      </c>
      <c r="J25" s="2" t="s">
        <v>101</v>
      </c>
      <c r="K25" s="2" t="str">
        <f t="shared" si="3"/>
        <v>03</v>
      </c>
      <c r="L25" t="str">
        <f t="shared" si="4"/>
        <v>North</v>
      </c>
      <c r="M25" t="str">
        <f t="shared" si="5"/>
        <v>2482 </v>
      </c>
    </row>
    <row r="26" spans="1:13" ht="16" x14ac:dyDescent="0.2">
      <c r="A26" s="10">
        <v>1172</v>
      </c>
      <c r="B26" t="s">
        <v>127</v>
      </c>
      <c r="C26" t="str">
        <f t="shared" si="0"/>
        <v>F1172</v>
      </c>
      <c r="D26" t="s">
        <v>64</v>
      </c>
      <c r="E26" s="5" t="s">
        <v>63</v>
      </c>
      <c r="F26" s="12" t="str">
        <f t="shared" si="1"/>
        <v>Nicholas Fernandes</v>
      </c>
      <c r="G26" s="12" t="str">
        <f t="shared" si="2"/>
        <v>nfernandes1172@zenco.com</v>
      </c>
      <c r="H26" s="1">
        <v>39023</v>
      </c>
      <c r="I26" s="2" t="s">
        <v>15</v>
      </c>
      <c r="J26" s="2" t="s">
        <v>102</v>
      </c>
      <c r="K26" s="2" t="str">
        <f t="shared" si="3"/>
        <v>02</v>
      </c>
      <c r="L26" t="str">
        <f t="shared" si="4"/>
        <v>East</v>
      </c>
      <c r="M26" t="str">
        <f t="shared" si="5"/>
        <v>2372 </v>
      </c>
    </row>
    <row r="27" spans="1:13" ht="16" x14ac:dyDescent="0.2">
      <c r="A27" s="10">
        <v>1134</v>
      </c>
      <c r="B27" t="s">
        <v>127</v>
      </c>
      <c r="C27" t="str">
        <f t="shared" si="0"/>
        <v>F1134</v>
      </c>
      <c r="D27" t="s">
        <v>35</v>
      </c>
      <c r="E27" s="5" t="s">
        <v>26</v>
      </c>
      <c r="F27" s="12" t="str">
        <f t="shared" si="1"/>
        <v>Mary Ferris</v>
      </c>
      <c r="G27" s="12" t="str">
        <f t="shared" si="2"/>
        <v>mferris1134@zenco.com</v>
      </c>
      <c r="H27" s="1">
        <v>38548</v>
      </c>
      <c r="I27" s="2" t="s">
        <v>69</v>
      </c>
      <c r="J27" s="2" t="s">
        <v>103</v>
      </c>
      <c r="K27" s="2" t="str">
        <f t="shared" si="3"/>
        <v>03</v>
      </c>
      <c r="L27" t="str">
        <f t="shared" si="4"/>
        <v>East</v>
      </c>
      <c r="M27" t="str">
        <f t="shared" si="5"/>
        <v>2392 </v>
      </c>
    </row>
    <row r="28" spans="1:13" ht="16" x14ac:dyDescent="0.2">
      <c r="A28" s="10">
        <v>1150</v>
      </c>
      <c r="B28" t="s">
        <v>127</v>
      </c>
      <c r="C28" t="str">
        <f t="shared" si="0"/>
        <v>F1150</v>
      </c>
      <c r="D28" t="s">
        <v>33</v>
      </c>
      <c r="E28" s="5" t="s">
        <v>14</v>
      </c>
      <c r="F28" s="12" t="str">
        <f t="shared" si="1"/>
        <v>Susan Filosa</v>
      </c>
      <c r="G28" s="12" t="str">
        <f t="shared" si="2"/>
        <v>sfilosa1150@zenco.com</v>
      </c>
      <c r="H28" s="1">
        <v>38744</v>
      </c>
      <c r="I28" s="2" t="s">
        <v>30</v>
      </c>
      <c r="J28" s="2" t="s">
        <v>104</v>
      </c>
      <c r="K28" s="2" t="str">
        <f t="shared" si="3"/>
        <v>02</v>
      </c>
      <c r="L28" t="str">
        <f t="shared" si="4"/>
        <v>West</v>
      </c>
      <c r="M28" t="str">
        <f t="shared" si="5"/>
        <v>2279 </v>
      </c>
    </row>
    <row r="29" spans="1:13" ht="16" x14ac:dyDescent="0.2">
      <c r="A29" s="10">
        <v>1004</v>
      </c>
      <c r="B29" t="s">
        <v>128</v>
      </c>
      <c r="C29" t="str">
        <f t="shared" si="0"/>
        <v>P1004</v>
      </c>
      <c r="D29" t="s">
        <v>22</v>
      </c>
      <c r="E29" s="5" t="s">
        <v>9</v>
      </c>
      <c r="F29" s="12" t="str">
        <f t="shared" si="1"/>
        <v>Daniel Flanders</v>
      </c>
      <c r="G29" s="12" t="str">
        <f t="shared" si="2"/>
        <v>dflanders1004@zenco.com</v>
      </c>
      <c r="H29" s="1">
        <v>37510</v>
      </c>
      <c r="I29" s="2" t="s">
        <v>69</v>
      </c>
      <c r="J29" s="2" t="s">
        <v>105</v>
      </c>
      <c r="K29" s="2" t="str">
        <f t="shared" si="3"/>
        <v>02</v>
      </c>
      <c r="L29" t="str">
        <f t="shared" si="4"/>
        <v>East</v>
      </c>
      <c r="M29" t="str">
        <f t="shared" si="5"/>
        <v>2639 </v>
      </c>
    </row>
    <row r="30" spans="1:13" ht="16" x14ac:dyDescent="0.2">
      <c r="A30" s="10">
        <v>1239</v>
      </c>
      <c r="B30" t="s">
        <v>127</v>
      </c>
      <c r="C30" t="str">
        <f t="shared" si="0"/>
        <v>F1239</v>
      </c>
      <c r="D30" t="s">
        <v>51</v>
      </c>
      <c r="E30" s="5" t="s">
        <v>50</v>
      </c>
      <c r="F30" s="12" t="str">
        <f t="shared" si="1"/>
        <v>Leighton Forrest</v>
      </c>
      <c r="G30" s="12" t="str">
        <f t="shared" si="2"/>
        <v>lforrest1239@zenco.com</v>
      </c>
      <c r="H30" s="1">
        <v>42120</v>
      </c>
      <c r="I30" s="2" t="s">
        <v>69</v>
      </c>
      <c r="J30" s="2" t="s">
        <v>106</v>
      </c>
      <c r="K30" s="2" t="str">
        <f t="shared" si="3"/>
        <v>02</v>
      </c>
      <c r="L30" t="str">
        <f t="shared" si="4"/>
        <v>East</v>
      </c>
      <c r="M30" t="str">
        <f t="shared" si="5"/>
        <v>2284 </v>
      </c>
    </row>
    <row r="31" spans="1:13" ht="16" x14ac:dyDescent="0.2">
      <c r="A31" s="10">
        <v>1250</v>
      </c>
      <c r="B31" t="s">
        <v>127</v>
      </c>
      <c r="C31" t="str">
        <f t="shared" si="0"/>
        <v>F1250</v>
      </c>
      <c r="D31" t="s">
        <v>49</v>
      </c>
      <c r="E31" s="5" t="s">
        <v>48</v>
      </c>
      <c r="F31" s="12" t="str">
        <f t="shared" si="1"/>
        <v>Phoebe Gour</v>
      </c>
      <c r="G31" s="12" t="str">
        <f t="shared" si="2"/>
        <v>pgour1250@zenco.com</v>
      </c>
      <c r="H31" s="1">
        <v>42721</v>
      </c>
      <c r="I31" s="2" t="s">
        <v>69</v>
      </c>
      <c r="J31" s="2" t="s">
        <v>107</v>
      </c>
      <c r="K31" s="2" t="str">
        <f t="shared" si="3"/>
        <v>02</v>
      </c>
      <c r="L31" t="str">
        <f t="shared" si="4"/>
        <v>East</v>
      </c>
      <c r="M31" t="str">
        <f t="shared" si="5"/>
        <v>2910 </v>
      </c>
    </row>
    <row r="32" spans="1:13" ht="16" x14ac:dyDescent="0.2">
      <c r="A32" s="10">
        <v>1192</v>
      </c>
      <c r="B32" t="s">
        <v>128</v>
      </c>
      <c r="C32" t="str">
        <f t="shared" si="0"/>
        <v>P1192</v>
      </c>
      <c r="D32" t="s">
        <v>47</v>
      </c>
      <c r="E32" s="5" t="s">
        <v>46</v>
      </c>
      <c r="F32" s="12" t="str">
        <f t="shared" si="1"/>
        <v>Mihael Khan</v>
      </c>
      <c r="G32" s="12" t="str">
        <f t="shared" si="2"/>
        <v>mkhan1192@zenco.com</v>
      </c>
      <c r="H32" s="1">
        <v>40160</v>
      </c>
      <c r="I32" s="2" t="s">
        <v>69</v>
      </c>
      <c r="J32" s="2" t="s">
        <v>108</v>
      </c>
      <c r="K32" s="2" t="str">
        <f t="shared" si="3"/>
        <v>02</v>
      </c>
      <c r="L32" t="str">
        <f t="shared" si="4"/>
        <v>North</v>
      </c>
      <c r="M32" t="str">
        <f t="shared" si="5"/>
        <v>2294 </v>
      </c>
    </row>
    <row r="33" spans="1:13" ht="16" x14ac:dyDescent="0.2">
      <c r="A33" s="10">
        <v>1249</v>
      </c>
      <c r="B33" t="s">
        <v>128</v>
      </c>
      <c r="C33" t="str">
        <f t="shared" si="0"/>
        <v>P1249</v>
      </c>
      <c r="D33" t="s">
        <v>75</v>
      </c>
      <c r="E33" s="5" t="s">
        <v>74</v>
      </c>
      <c r="F33" s="12" t="str">
        <f t="shared" si="1"/>
        <v>Sean Sanders</v>
      </c>
      <c r="G33" s="12" t="str">
        <f t="shared" si="2"/>
        <v>ssanders1249@zenco.com</v>
      </c>
      <c r="H33" s="1">
        <v>42691</v>
      </c>
      <c r="I33" s="2" t="s">
        <v>17</v>
      </c>
      <c r="J33" s="2" t="s">
        <v>109</v>
      </c>
      <c r="K33" s="2" t="str">
        <f t="shared" si="3"/>
        <v>03</v>
      </c>
      <c r="L33" t="str">
        <f t="shared" si="4"/>
        <v>West</v>
      </c>
      <c r="M33" t="str">
        <f t="shared" si="5"/>
        <v>2765 </v>
      </c>
    </row>
    <row r="34" spans="1:13" ht="16" x14ac:dyDescent="0.2">
      <c r="A34" s="10">
        <v>1245</v>
      </c>
      <c r="B34" t="s">
        <v>128</v>
      </c>
      <c r="C34" t="str">
        <f t="shared" si="0"/>
        <v>P1245</v>
      </c>
      <c r="D34" t="s">
        <v>68</v>
      </c>
      <c r="E34" s="5" t="s">
        <v>67</v>
      </c>
      <c r="F34" s="12" t="str">
        <f t="shared" si="1"/>
        <v>Preston Senome</v>
      </c>
      <c r="G34" s="12" t="str">
        <f t="shared" si="2"/>
        <v>psenome1245@zenco.com</v>
      </c>
      <c r="H34" s="1">
        <v>42324</v>
      </c>
      <c r="I34" s="2" t="s">
        <v>69</v>
      </c>
      <c r="J34" s="2" t="s">
        <v>110</v>
      </c>
      <c r="K34" s="2" t="str">
        <f t="shared" si="3"/>
        <v>02</v>
      </c>
      <c r="L34" t="str">
        <f t="shared" si="4"/>
        <v>East</v>
      </c>
      <c r="M34" t="str">
        <f t="shared" si="5"/>
        <v>2260 </v>
      </c>
    </row>
    <row r="35" spans="1:13" ht="16" x14ac:dyDescent="0.2">
      <c r="A35" s="10">
        <v>1207</v>
      </c>
      <c r="B35" t="s">
        <v>128</v>
      </c>
      <c r="C35" t="str">
        <f t="shared" si="0"/>
        <v>P1207</v>
      </c>
      <c r="D35" t="s">
        <v>53</v>
      </c>
      <c r="E35" s="5" t="s">
        <v>52</v>
      </c>
      <c r="F35" s="12" t="str">
        <f t="shared" si="1"/>
        <v>Natasha Song</v>
      </c>
      <c r="G35" s="12" t="str">
        <f t="shared" si="2"/>
        <v>nsong1207@zenco.com</v>
      </c>
      <c r="H35" s="1">
        <v>40713</v>
      </c>
      <c r="I35" s="2" t="s">
        <v>69</v>
      </c>
      <c r="J35" s="2" t="s">
        <v>111</v>
      </c>
      <c r="K35" s="2" t="str">
        <f t="shared" si="3"/>
        <v>02</v>
      </c>
      <c r="L35" t="str">
        <f t="shared" si="4"/>
        <v>East</v>
      </c>
      <c r="M35" t="str">
        <f t="shared" si="5"/>
        <v>2578 </v>
      </c>
    </row>
    <row r="36" spans="1:13" ht="16" x14ac:dyDescent="0.2">
      <c r="A36" s="10">
        <v>1244</v>
      </c>
      <c r="B36" t="s">
        <v>128</v>
      </c>
      <c r="C36" t="str">
        <f t="shared" si="0"/>
        <v>P1244</v>
      </c>
      <c r="D36" t="s">
        <v>66</v>
      </c>
      <c r="E36" s="5" t="s">
        <v>65</v>
      </c>
      <c r="F36" s="12" t="str">
        <f t="shared" si="1"/>
        <v>Radhya Staples</v>
      </c>
      <c r="G36" s="12" t="str">
        <f t="shared" si="2"/>
        <v>rstaples1244@zenco.com</v>
      </c>
      <c r="H36" s="1">
        <v>42321</v>
      </c>
      <c r="I36" s="2" t="s">
        <v>69</v>
      </c>
      <c r="J36" s="2" t="s">
        <v>112</v>
      </c>
      <c r="K36" s="2" t="str">
        <f t="shared" si="3"/>
        <v>02</v>
      </c>
      <c r="L36" t="str">
        <f t="shared" si="4"/>
        <v>East</v>
      </c>
      <c r="M36" t="str">
        <f t="shared" si="5"/>
        <v>2654 </v>
      </c>
    </row>
    <row r="37" spans="1:13" ht="16" x14ac:dyDescent="0.2">
      <c r="A37" s="10">
        <v>1252</v>
      </c>
      <c r="B37" t="s">
        <v>127</v>
      </c>
      <c r="C37" t="str">
        <f t="shared" si="0"/>
        <v>F1252</v>
      </c>
      <c r="D37" t="s">
        <v>72</v>
      </c>
      <c r="E37" s="5" t="s">
        <v>71</v>
      </c>
      <c r="F37" s="12" t="str">
        <f t="shared" si="1"/>
        <v>Mei Wang</v>
      </c>
      <c r="G37" s="12" t="str">
        <f t="shared" si="2"/>
        <v>mwang1252@zenco.com</v>
      </c>
      <c r="H37" s="1">
        <v>40188</v>
      </c>
      <c r="I37" s="2" t="s">
        <v>28</v>
      </c>
      <c r="J37" s="2" t="s">
        <v>113</v>
      </c>
      <c r="K37" s="2" t="str">
        <f t="shared" si="3"/>
        <v>01</v>
      </c>
      <c r="L37" t="str">
        <f t="shared" si="4"/>
        <v>West</v>
      </c>
      <c r="M37" t="str">
        <f t="shared" si="5"/>
        <v>2783 </v>
      </c>
    </row>
    <row r="38" spans="1:13" ht="16" x14ac:dyDescent="0.2">
      <c r="A38" s="10">
        <v>1237</v>
      </c>
      <c r="B38" t="s">
        <v>127</v>
      </c>
      <c r="C38" t="str">
        <f t="shared" si="0"/>
        <v>F1237</v>
      </c>
      <c r="D38" t="s">
        <v>55</v>
      </c>
      <c r="E38" s="5" t="s">
        <v>54</v>
      </c>
      <c r="F38" s="12" t="str">
        <f t="shared" si="1"/>
        <v>Aanya Zhang</v>
      </c>
      <c r="G38" s="12" t="str">
        <f t="shared" si="2"/>
        <v>azhang1237@zenco.com</v>
      </c>
      <c r="H38" s="1">
        <v>42002</v>
      </c>
      <c r="I38" s="2" t="s">
        <v>69</v>
      </c>
      <c r="J38" s="2" t="s">
        <v>114</v>
      </c>
      <c r="K38" s="2" t="str">
        <f t="shared" si="3"/>
        <v>02</v>
      </c>
      <c r="L38" t="str">
        <f t="shared" si="4"/>
        <v>East</v>
      </c>
      <c r="M38" t="str">
        <f t="shared" si="5"/>
        <v>2793 </v>
      </c>
    </row>
  </sheetData>
  <sortState xmlns:xlrd2="http://schemas.microsoft.com/office/spreadsheetml/2017/richdata2" ref="A4:J38">
    <sortCondition ref="D6"/>
  </sortState>
  <pageMargins left="0.7" right="0.7" top="0.75" bottom="0.75" header="0.3" footer="0.3"/>
  <pageSetup paperSize="9" orientation="portrait" horizontalDpi="75" verticalDpi="75" r:id="rId1"/>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6F11982-3A50-0E45-933A-DD6616A85A8E}">
  <dimension ref="A2:J37"/>
  <sheetViews>
    <sheetView zoomScale="110" zoomScaleNormal="110" workbookViewId="0">
      <selection activeCell="G4" sqref="G4"/>
    </sheetView>
  </sheetViews>
  <sheetFormatPr baseColWidth="10" defaultRowHeight="15" x14ac:dyDescent="0.2"/>
  <cols>
    <col min="1" max="1" width="12.1640625" bestFit="1" customWidth="1"/>
    <col min="2" max="2" width="15.6640625" bestFit="1" customWidth="1"/>
    <col min="4" max="4" width="13.33203125" bestFit="1" customWidth="1"/>
    <col min="6" max="6" width="14.5" bestFit="1" customWidth="1"/>
    <col min="7" max="7" width="13.33203125" bestFit="1" customWidth="1"/>
    <col min="9" max="9" width="17.83203125" bestFit="1" customWidth="1"/>
    <col min="10" max="10" width="16.83203125" bestFit="1" customWidth="1"/>
  </cols>
  <sheetData>
    <row r="2" spans="1:10" ht="18" x14ac:dyDescent="0.2">
      <c r="A2" t="s">
        <v>155</v>
      </c>
      <c r="F2" s="14"/>
      <c r="I2" t="s">
        <v>162</v>
      </c>
    </row>
    <row r="3" spans="1:10" x14ac:dyDescent="0.2">
      <c r="A3" s="13" t="s">
        <v>152</v>
      </c>
      <c r="B3" t="s">
        <v>154</v>
      </c>
      <c r="D3" s="15" t="s">
        <v>156</v>
      </c>
      <c r="F3" s="13" t="s">
        <v>152</v>
      </c>
      <c r="G3" t="s">
        <v>154</v>
      </c>
      <c r="I3" s="17" t="s">
        <v>163</v>
      </c>
      <c r="J3" s="18" t="s">
        <v>164</v>
      </c>
    </row>
    <row r="4" spans="1:10" x14ac:dyDescent="0.2">
      <c r="A4" s="10" t="s">
        <v>54</v>
      </c>
      <c r="B4" s="29">
        <v>1</v>
      </c>
      <c r="D4" s="16">
        <v>35</v>
      </c>
      <c r="F4" s="10" t="s">
        <v>127</v>
      </c>
      <c r="G4" s="29">
        <v>17</v>
      </c>
      <c r="I4" s="19">
        <f>G4</f>
        <v>17</v>
      </c>
      <c r="J4" s="20">
        <f>G5</f>
        <v>18</v>
      </c>
    </row>
    <row r="5" spans="1:10" x14ac:dyDescent="0.2">
      <c r="A5" s="10" t="s">
        <v>11</v>
      </c>
      <c r="B5" s="29">
        <v>1</v>
      </c>
      <c r="F5" s="10" t="s">
        <v>128</v>
      </c>
      <c r="G5" s="29">
        <v>18</v>
      </c>
    </row>
    <row r="6" spans="1:10" x14ac:dyDescent="0.2">
      <c r="A6" s="10" t="s">
        <v>34</v>
      </c>
      <c r="B6" s="29">
        <v>1</v>
      </c>
      <c r="F6" s="10" t="s">
        <v>153</v>
      </c>
      <c r="G6" s="29">
        <v>35</v>
      </c>
      <c r="I6" s="21"/>
    </row>
    <row r="7" spans="1:10" x14ac:dyDescent="0.2">
      <c r="A7" s="10" t="s">
        <v>73</v>
      </c>
      <c r="B7" s="29">
        <v>1</v>
      </c>
      <c r="I7" s="22" t="s">
        <v>158</v>
      </c>
      <c r="J7" s="15" t="s">
        <v>157</v>
      </c>
    </row>
    <row r="8" spans="1:10" x14ac:dyDescent="0.2">
      <c r="A8" s="10" t="s">
        <v>41</v>
      </c>
      <c r="B8" s="29">
        <v>1</v>
      </c>
      <c r="I8" s="23">
        <f>J4/D4</f>
        <v>0.51428571428571423</v>
      </c>
      <c r="J8" s="24">
        <f>I4/D4</f>
        <v>0.48571428571428571</v>
      </c>
    </row>
    <row r="9" spans="1:10" x14ac:dyDescent="0.2">
      <c r="A9" s="10" t="s">
        <v>21</v>
      </c>
      <c r="B9" s="29">
        <v>1</v>
      </c>
    </row>
    <row r="10" spans="1:10" x14ac:dyDescent="0.2">
      <c r="A10" s="10" t="s">
        <v>60</v>
      </c>
      <c r="B10" s="29">
        <v>1</v>
      </c>
      <c r="I10" t="s">
        <v>161</v>
      </c>
    </row>
    <row r="11" spans="1:10" x14ac:dyDescent="0.2">
      <c r="A11" s="10" t="s">
        <v>56</v>
      </c>
      <c r="B11" s="29">
        <v>1</v>
      </c>
      <c r="F11" s="13" t="s">
        <v>152</v>
      </c>
      <c r="G11" t="s">
        <v>159</v>
      </c>
      <c r="I11" s="25" t="s">
        <v>4</v>
      </c>
      <c r="J11" s="25" t="s">
        <v>160</v>
      </c>
    </row>
    <row r="12" spans="1:10" x14ac:dyDescent="0.2">
      <c r="A12" s="10" t="s">
        <v>9</v>
      </c>
      <c r="B12" s="29">
        <v>1</v>
      </c>
      <c r="F12" s="10" t="s">
        <v>15</v>
      </c>
      <c r="G12" s="29">
        <v>4</v>
      </c>
      <c r="I12" s="25" t="str">
        <f>F12</f>
        <v>Accounting</v>
      </c>
      <c r="J12" s="25">
        <f>G12</f>
        <v>4</v>
      </c>
    </row>
    <row r="13" spans="1:10" x14ac:dyDescent="0.2">
      <c r="A13" s="10" t="s">
        <v>16</v>
      </c>
      <c r="B13" s="29">
        <v>2</v>
      </c>
      <c r="F13" s="10" t="s">
        <v>30</v>
      </c>
      <c r="G13" s="29">
        <v>5</v>
      </c>
      <c r="I13" s="25" t="str">
        <f t="shared" ref="I13:I18" si="0">F13</f>
        <v>Customer Service</v>
      </c>
      <c r="J13" s="25">
        <f t="shared" ref="J13:J18" si="1">G13</f>
        <v>5</v>
      </c>
    </row>
    <row r="14" spans="1:10" x14ac:dyDescent="0.2">
      <c r="A14" s="10" t="s">
        <v>70</v>
      </c>
      <c r="B14" s="29">
        <v>1</v>
      </c>
      <c r="F14" s="10" t="s">
        <v>28</v>
      </c>
      <c r="G14" s="29">
        <v>2</v>
      </c>
      <c r="I14" s="25" t="str">
        <f t="shared" si="0"/>
        <v>Executive</v>
      </c>
      <c r="J14" s="25">
        <f t="shared" si="1"/>
        <v>2</v>
      </c>
    </row>
    <row r="15" spans="1:10" x14ac:dyDescent="0.2">
      <c r="A15" s="10" t="s">
        <v>38</v>
      </c>
      <c r="B15" s="29">
        <v>1</v>
      </c>
      <c r="F15" s="10" t="s">
        <v>12</v>
      </c>
      <c r="G15" s="29">
        <v>1</v>
      </c>
      <c r="I15" s="25" t="str">
        <f t="shared" si="0"/>
        <v>Facilities</v>
      </c>
      <c r="J15" s="25">
        <f t="shared" si="1"/>
        <v>1</v>
      </c>
    </row>
    <row r="16" spans="1:10" x14ac:dyDescent="0.2">
      <c r="A16" s="10" t="s">
        <v>19</v>
      </c>
      <c r="B16" s="29">
        <v>1</v>
      </c>
      <c r="F16" s="10" t="s">
        <v>17</v>
      </c>
      <c r="G16" s="29">
        <v>3</v>
      </c>
      <c r="I16" s="25" t="str">
        <f t="shared" si="0"/>
        <v>Human Resources</v>
      </c>
      <c r="J16" s="25">
        <f t="shared" si="1"/>
        <v>3</v>
      </c>
    </row>
    <row r="17" spans="1:10" x14ac:dyDescent="0.2">
      <c r="A17" s="10" t="s">
        <v>36</v>
      </c>
      <c r="B17" s="29">
        <v>2</v>
      </c>
      <c r="F17" s="10" t="s">
        <v>77</v>
      </c>
      <c r="G17" s="29">
        <v>5</v>
      </c>
      <c r="I17" s="25" t="str">
        <f t="shared" si="0"/>
        <v>IT</v>
      </c>
      <c r="J17" s="25">
        <f t="shared" si="1"/>
        <v>5</v>
      </c>
    </row>
    <row r="18" spans="1:10" x14ac:dyDescent="0.2">
      <c r="A18" s="10" t="s">
        <v>29</v>
      </c>
      <c r="B18" s="29">
        <v>1</v>
      </c>
      <c r="F18" s="10" t="s">
        <v>69</v>
      </c>
      <c r="G18" s="29">
        <v>15</v>
      </c>
      <c r="I18" s="25" t="str">
        <f t="shared" si="0"/>
        <v>Sales</v>
      </c>
      <c r="J18" s="25">
        <f t="shared" si="1"/>
        <v>15</v>
      </c>
    </row>
    <row r="19" spans="1:10" x14ac:dyDescent="0.2">
      <c r="A19" s="10" t="s">
        <v>50</v>
      </c>
      <c r="B19" s="29">
        <v>1</v>
      </c>
      <c r="F19" s="10" t="s">
        <v>153</v>
      </c>
      <c r="G19" s="29">
        <v>35</v>
      </c>
    </row>
    <row r="20" spans="1:10" x14ac:dyDescent="0.2">
      <c r="A20" s="10" t="s">
        <v>32</v>
      </c>
      <c r="B20" s="29">
        <v>1</v>
      </c>
    </row>
    <row r="21" spans="1:10" x14ac:dyDescent="0.2">
      <c r="A21" s="10" t="s">
        <v>26</v>
      </c>
      <c r="B21" s="29">
        <v>1</v>
      </c>
    </row>
    <row r="22" spans="1:10" x14ac:dyDescent="0.2">
      <c r="A22" s="10" t="s">
        <v>71</v>
      </c>
      <c r="B22" s="29">
        <v>1</v>
      </c>
    </row>
    <row r="23" spans="1:10" x14ac:dyDescent="0.2">
      <c r="A23" s="10" t="s">
        <v>46</v>
      </c>
      <c r="B23" s="29">
        <v>1</v>
      </c>
    </row>
    <row r="24" spans="1:10" x14ac:dyDescent="0.2">
      <c r="A24" s="10" t="s">
        <v>52</v>
      </c>
      <c r="B24" s="29">
        <v>1</v>
      </c>
    </row>
    <row r="25" spans="1:10" x14ac:dyDescent="0.2">
      <c r="A25" s="10" t="s">
        <v>63</v>
      </c>
      <c r="B25" s="29">
        <v>1</v>
      </c>
    </row>
    <row r="26" spans="1:10" x14ac:dyDescent="0.2">
      <c r="A26" s="10" t="s">
        <v>48</v>
      </c>
      <c r="B26" s="29">
        <v>1</v>
      </c>
    </row>
    <row r="27" spans="1:10" x14ac:dyDescent="0.2">
      <c r="A27" s="10" t="s">
        <v>67</v>
      </c>
      <c r="B27" s="29">
        <v>1</v>
      </c>
    </row>
    <row r="28" spans="1:10" x14ac:dyDescent="0.2">
      <c r="A28" s="10" t="s">
        <v>65</v>
      </c>
      <c r="B28" s="29">
        <v>1</v>
      </c>
    </row>
    <row r="29" spans="1:10" x14ac:dyDescent="0.2">
      <c r="A29" s="10" t="s">
        <v>23</v>
      </c>
      <c r="B29" s="29">
        <v>1</v>
      </c>
    </row>
    <row r="30" spans="1:10" x14ac:dyDescent="0.2">
      <c r="A30" s="10" t="s">
        <v>44</v>
      </c>
      <c r="B30" s="29">
        <v>1</v>
      </c>
    </row>
    <row r="31" spans="1:10" x14ac:dyDescent="0.2">
      <c r="A31" s="10" t="s">
        <v>74</v>
      </c>
      <c r="B31" s="29">
        <v>1</v>
      </c>
    </row>
    <row r="32" spans="1:10" x14ac:dyDescent="0.2">
      <c r="A32" s="10" t="s">
        <v>62</v>
      </c>
      <c r="B32" s="29">
        <v>1</v>
      </c>
    </row>
    <row r="33" spans="1:2" x14ac:dyDescent="0.2">
      <c r="A33" s="10" t="s">
        <v>14</v>
      </c>
      <c r="B33" s="29">
        <v>1</v>
      </c>
    </row>
    <row r="34" spans="1:2" x14ac:dyDescent="0.2">
      <c r="A34" s="10" t="s">
        <v>42</v>
      </c>
      <c r="B34" s="29">
        <v>1</v>
      </c>
    </row>
    <row r="35" spans="1:2" x14ac:dyDescent="0.2">
      <c r="A35" s="10" t="s">
        <v>78</v>
      </c>
      <c r="B35" s="29">
        <v>1</v>
      </c>
    </row>
    <row r="36" spans="1:2" x14ac:dyDescent="0.2">
      <c r="A36" s="10" t="s">
        <v>58</v>
      </c>
      <c r="B36" s="29">
        <v>1</v>
      </c>
    </row>
    <row r="37" spans="1:2" x14ac:dyDescent="0.2">
      <c r="A37" s="10" t="s">
        <v>153</v>
      </c>
      <c r="B37" s="29">
        <v>35</v>
      </c>
    </row>
  </sheetData>
  <pageMargins left="0.7" right="0.7" top="0.75" bottom="0.75" header="0.3" footer="0.3"/>
  <drawing r:id="rId4"/>
  <extLst>
    <ext xmlns:x14="http://schemas.microsoft.com/office/spreadsheetml/2009/9/main" uri="{A8765BA9-456A-4dab-B4F3-ACF838C121DE}">
      <x14:slicerList>
        <x14:slicer r:id="rId5"/>
      </x14:slicerList>
    </ext>
  </extLst>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24D7E6E-6990-9048-8B09-6B0A2089E111}">
  <dimension ref="A1"/>
  <sheetViews>
    <sheetView showGridLines="0" showRowColHeaders="0" tabSelected="1" workbookViewId="0">
      <selection activeCell="A16" sqref="A16"/>
    </sheetView>
  </sheetViews>
  <sheetFormatPr baseColWidth="10" defaultRowHeight="15" x14ac:dyDescent="0.2"/>
  <sheetData/>
  <pageMargins left="0.7" right="0.7" top="0.75" bottom="0.75" header="0.3" footer="0.3"/>
  <drawing r:id="rId1"/>
  <picture r:id="rId2"/>
  <extLst>
    <ext xmlns:x14="http://schemas.microsoft.com/office/spreadsheetml/2009/9/main" uri="{A8765BA9-456A-4dab-B4F3-ACF838C121DE}">
      <x14:slicerList>
        <x14:slicer r:id="rId3"/>
      </x14:slicerList>
    </ext>
  </extLst>
</worksheet>
</file>

<file path=docProps/app.xml><?xml version="1.0" encoding="utf-8"?>
<Properties xmlns="http://schemas.openxmlformats.org/officeDocument/2006/extended-properties" xmlns:vt="http://schemas.openxmlformats.org/officeDocument/2006/docPropsVTypes">
  <Application>Microsoft Macintosh Excel</Application>
  <DocSecurity>0</DocSecurity>
  <ScaleCrop>false</ScaleCrop>
  <HeadingPairs>
    <vt:vector size="2" baseType="variant">
      <vt:variant>
        <vt:lpstr>Worksheets</vt:lpstr>
      </vt:variant>
      <vt:variant>
        <vt:i4>4</vt:i4>
      </vt:variant>
    </vt:vector>
  </HeadingPairs>
  <TitlesOfParts>
    <vt:vector size="4" baseType="lpstr">
      <vt:lpstr>Instructions</vt:lpstr>
      <vt:lpstr>HR Data</vt:lpstr>
      <vt:lpstr>Pivot Table</vt:lpstr>
      <vt:lpstr>dashboard</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nic</dc:creator>
  <cp:lastModifiedBy>Nayan</cp:lastModifiedBy>
  <dcterms:created xsi:type="dcterms:W3CDTF">2017-06-15T06:51:11Z</dcterms:created>
  <dcterms:modified xsi:type="dcterms:W3CDTF">2026-02-13T08:36:04Z</dcterms:modified>
</cp:coreProperties>
</file>